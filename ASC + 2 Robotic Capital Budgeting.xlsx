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drawings/drawing7.xml" ContentType="application/vnd.openxmlformats-officedocument.drawing+xml"/>
  <Override PartName="/xl/ctrlProps/ctrlProp6.xml" ContentType="application/vnd.ms-excel.controlproperties+xml"/>
  <Override PartName="/xl/drawings/drawing8.xml" ContentType="application/vnd.openxmlformats-officedocument.drawing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rahmanalali/Desktop/GitHub Projects/Capital Budgeting/"/>
    </mc:Choice>
  </mc:AlternateContent>
  <xr:revisionPtr revIDLastSave="0" documentId="13_ncr:1_{77583197-2775-6448-9DFF-1F6D993121D4}" xr6:coauthVersionLast="47" xr6:coauthVersionMax="47" xr10:uidLastSave="{00000000-0000-0000-0000-000000000000}"/>
  <bookViews>
    <workbookView xWindow="0" yWindow="600" windowWidth="50100" windowHeight="28200" activeTab="1" xr2:uid="{28BDFEF9-6004-B349-B792-24B9E4F427B2}"/>
  </bookViews>
  <sheets>
    <sheet name="Cover Page" sheetId="12" r:id="rId1"/>
    <sheet name="Dashboard" sheetId="13" r:id="rId2"/>
    <sheet name="Input" sheetId="1" r:id="rId3"/>
    <sheet name="Scenarios" sheetId="2" r:id="rId4"/>
    <sheet name="Capex" sheetId="3" r:id="rId5"/>
    <sheet name="Volume" sheetId="5" r:id="rId6"/>
    <sheet name="Revenue" sheetId="6" r:id="rId7"/>
    <sheet name="Opex" sheetId="7" r:id="rId8"/>
    <sheet name="P&amp;L" sheetId="8" r:id="rId9"/>
    <sheet name="Cash Flow" sheetId="9" r:id="rId10"/>
    <sheet name="DCF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B9" i="7"/>
  <c r="B10" i="7"/>
  <c r="B11" i="7"/>
  <c r="B12" i="7"/>
  <c r="B13" i="7"/>
  <c r="B14" i="7"/>
  <c r="B8" i="7"/>
  <c r="D11" i="5" l="1"/>
  <c r="B19" i="5"/>
  <c r="B20" i="5"/>
  <c r="B21" i="5"/>
  <c r="B22" i="5"/>
  <c r="B23" i="5"/>
  <c r="B24" i="5"/>
  <c r="B18" i="5"/>
  <c r="E8" i="6" a="1"/>
  <c r="E8" i="6" s="1"/>
  <c r="F8" i="6" a="1"/>
  <c r="F8" i="6" s="1"/>
  <c r="G8" i="6" a="1"/>
  <c r="G8" i="6" s="1"/>
  <c r="H8" i="6" a="1"/>
  <c r="H8" i="6" s="1"/>
  <c r="I8" i="6" a="1"/>
  <c r="I8" i="6" s="1"/>
  <c r="J8" i="6" a="1"/>
  <c r="J8" i="6" s="1"/>
  <c r="K8" i="6" a="1"/>
  <c r="K8" i="6" s="1"/>
  <c r="L8" i="6" a="1"/>
  <c r="L8" i="6" s="1"/>
  <c r="M8" i="6" a="1"/>
  <c r="M8" i="6" s="1"/>
  <c r="D8" i="6" a="1"/>
  <c r="D8" i="6" s="1"/>
  <c r="B14" i="6"/>
  <c r="B15" i="6"/>
  <c r="B16" i="6"/>
  <c r="B17" i="6"/>
  <c r="B18" i="6"/>
  <c r="B19" i="6"/>
  <c r="B13" i="6"/>
  <c r="M9" i="10"/>
  <c r="L9" i="10"/>
  <c r="K9" i="10"/>
  <c r="J9" i="10"/>
  <c r="I9" i="10"/>
  <c r="H9" i="10"/>
  <c r="G9" i="10"/>
  <c r="F9" i="10"/>
  <c r="E9" i="10"/>
  <c r="D9" i="10"/>
  <c r="C9" i="10"/>
  <c r="D11" i="9"/>
  <c r="E11" i="9"/>
  <c r="F11" i="9"/>
  <c r="G11" i="9"/>
  <c r="H11" i="9"/>
  <c r="I11" i="9"/>
  <c r="J11" i="9"/>
  <c r="K11" i="9"/>
  <c r="L11" i="9"/>
  <c r="M11" i="9"/>
  <c r="D23" i="7"/>
  <c r="E23" i="7" s="1"/>
  <c r="F23" i="7" s="1"/>
  <c r="G23" i="7" s="1"/>
  <c r="H23" i="7" s="1"/>
  <c r="I23" i="7" s="1"/>
  <c r="J23" i="7" s="1"/>
  <c r="K23" i="7" s="1"/>
  <c r="L23" i="7" s="1"/>
  <c r="M23" i="7" s="1"/>
  <c r="D22" i="7"/>
  <c r="E22" i="7" s="1"/>
  <c r="F22" i="7" s="1"/>
  <c r="G22" i="7" s="1"/>
  <c r="H22" i="7" s="1"/>
  <c r="I22" i="7" s="1"/>
  <c r="J22" i="7" s="1"/>
  <c r="K22" i="7" s="1"/>
  <c r="L22" i="7" s="1"/>
  <c r="M22" i="7" s="1"/>
  <c r="E9" i="5" a="1"/>
  <c r="E9" i="5" s="1"/>
  <c r="D9" i="5" a="1"/>
  <c r="D9" i="5" s="1"/>
  <c r="E12" i="5"/>
  <c r="F12" i="5"/>
  <c r="G12" i="5"/>
  <c r="H12" i="5"/>
  <c r="I12" i="5"/>
  <c r="J12" i="5"/>
  <c r="K12" i="5"/>
  <c r="L12" i="5"/>
  <c r="M12" i="5"/>
  <c r="D12" i="5"/>
  <c r="E11" i="5"/>
  <c r="F11" i="5"/>
  <c r="G11" i="5"/>
  <c r="H11" i="5"/>
  <c r="I11" i="5"/>
  <c r="J11" i="5"/>
  <c r="K11" i="5"/>
  <c r="L11" i="5"/>
  <c r="M11" i="5"/>
  <c r="G9" i="5"/>
  <c r="G10" i="5" s="1"/>
  <c r="F10" i="5"/>
  <c r="C10" i="3"/>
  <c r="C11" i="3"/>
  <c r="C9" i="3"/>
  <c r="C8" i="3"/>
  <c r="C7" i="3"/>
  <c r="G20" i="3" s="1"/>
  <c r="F43" i="1"/>
  <c r="F44" i="1"/>
  <c r="F45" i="1"/>
  <c r="F46" i="1"/>
  <c r="F47" i="1"/>
  <c r="F48" i="1"/>
  <c r="F49" i="1"/>
  <c r="F50" i="1"/>
  <c r="F51" i="1"/>
  <c r="F42" i="1"/>
  <c r="D13" i="5" l="1"/>
  <c r="H21" i="3"/>
  <c r="G21" i="3"/>
  <c r="G22" i="3" s="1"/>
  <c r="G15" i="8" s="1"/>
  <c r="G9" i="9" s="1"/>
  <c r="I13" i="5"/>
  <c r="F21" i="3"/>
  <c r="L21" i="3"/>
  <c r="C52" i="1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K21" i="3"/>
  <c r="I21" i="3"/>
  <c r="L20" i="3"/>
  <c r="D21" i="3"/>
  <c r="K20" i="3"/>
  <c r="M21" i="3"/>
  <c r="E21" i="3"/>
  <c r="D20" i="3"/>
  <c r="F20" i="3"/>
  <c r="M20" i="3"/>
  <c r="E20" i="3"/>
  <c r="J20" i="3"/>
  <c r="H20" i="3"/>
  <c r="J21" i="3"/>
  <c r="C12" i="3"/>
  <c r="I20" i="3"/>
  <c r="D10" i="5"/>
  <c r="E10" i="5"/>
  <c r="H9" i="5"/>
  <c r="J13" i="5"/>
  <c r="K13" i="5"/>
  <c r="F13" i="5"/>
  <c r="F14" i="5" s="1"/>
  <c r="F43" i="13" s="1"/>
  <c r="E13" i="5"/>
  <c r="H13" i="5"/>
  <c r="G13" i="5"/>
  <c r="G14" i="5" s="1"/>
  <c r="G43" i="13" s="1"/>
  <c r="M13" i="5"/>
  <c r="L13" i="5"/>
  <c r="C61" i="1"/>
  <c r="C71" i="1"/>
  <c r="H22" i="3" l="1"/>
  <c r="H15" i="8" s="1"/>
  <c r="H9" i="9" s="1"/>
  <c r="F22" i="3"/>
  <c r="F15" i="8" s="1"/>
  <c r="F9" i="9" s="1"/>
  <c r="L22" i="3"/>
  <c r="L15" i="8" s="1"/>
  <c r="L9" i="9" s="1"/>
  <c r="M22" i="3"/>
  <c r="M15" i="8" s="1"/>
  <c r="M9" i="9" s="1"/>
  <c r="I22" i="3"/>
  <c r="I15" i="8" s="1"/>
  <c r="I9" i="9" s="1"/>
  <c r="D22" i="3"/>
  <c r="D15" i="8" s="1"/>
  <c r="K22" i="3"/>
  <c r="K15" i="8" s="1"/>
  <c r="K9" i="9" s="1"/>
  <c r="C13" i="3"/>
  <c r="C14" i="3" s="1"/>
  <c r="C11" i="9" s="1"/>
  <c r="C12" i="9" s="1"/>
  <c r="C8" i="10" s="1"/>
  <c r="J22" i="3"/>
  <c r="J15" i="8" s="1"/>
  <c r="J9" i="9" s="1"/>
  <c r="E22" i="3"/>
  <c r="E15" i="8" s="1"/>
  <c r="E9" i="9" s="1"/>
  <c r="F21" i="5"/>
  <c r="F11" i="7" s="1"/>
  <c r="F22" i="5"/>
  <c r="F12" i="7" s="1"/>
  <c r="F23" i="5"/>
  <c r="F13" i="7" s="1"/>
  <c r="F24" i="5"/>
  <c r="F14" i="7" s="1"/>
  <c r="F20" i="5"/>
  <c r="F10" i="7" s="1"/>
  <c r="F19" i="5"/>
  <c r="F9" i="7" s="1"/>
  <c r="F18" i="5"/>
  <c r="F8" i="7" s="1"/>
  <c r="G21" i="5"/>
  <c r="G11" i="7" s="1"/>
  <c r="G24" i="5"/>
  <c r="G14" i="7" s="1"/>
  <c r="G20" i="5"/>
  <c r="G10" i="7" s="1"/>
  <c r="G19" i="5"/>
  <c r="G9" i="7" s="1"/>
  <c r="G18" i="5"/>
  <c r="G8" i="7" s="1"/>
  <c r="G22" i="5"/>
  <c r="G12" i="7" s="1"/>
  <c r="G23" i="5"/>
  <c r="G13" i="7" s="1"/>
  <c r="D14" i="5"/>
  <c r="E14" i="5"/>
  <c r="I9" i="5"/>
  <c r="H10" i="5"/>
  <c r="H14" i="5" s="1"/>
  <c r="D16" i="13" l="1"/>
  <c r="H43" i="13"/>
  <c r="E20" i="5"/>
  <c r="E10" i="7" s="1"/>
  <c r="E43" i="13"/>
  <c r="D19" i="5"/>
  <c r="D14" i="6" s="1"/>
  <c r="D43" i="13"/>
  <c r="C10" i="10"/>
  <c r="C14" i="9"/>
  <c r="F25" i="5"/>
  <c r="F15" i="7" s="1"/>
  <c r="F17" i="7" s="1"/>
  <c r="F13" i="6"/>
  <c r="F15" i="6"/>
  <c r="F14" i="6"/>
  <c r="F16" i="6"/>
  <c r="F18" i="6"/>
  <c r="F17" i="6"/>
  <c r="F19" i="6"/>
  <c r="G25" i="5"/>
  <c r="G15" i="7" s="1"/>
  <c r="G17" i="7" s="1"/>
  <c r="G13" i="6"/>
  <c r="G18" i="6"/>
  <c r="G19" i="6"/>
  <c r="G14" i="6"/>
  <c r="G15" i="6"/>
  <c r="G16" i="6"/>
  <c r="G17" i="6"/>
  <c r="H21" i="5"/>
  <c r="H11" i="7" s="1"/>
  <c r="H22" i="5"/>
  <c r="H12" i="7" s="1"/>
  <c r="H23" i="5"/>
  <c r="H13" i="7" s="1"/>
  <c r="H24" i="5"/>
  <c r="H14" i="7" s="1"/>
  <c r="H20" i="5"/>
  <c r="H10" i="7" s="1"/>
  <c r="H19" i="5"/>
  <c r="H9" i="7" s="1"/>
  <c r="H18" i="5"/>
  <c r="H8" i="7" s="1"/>
  <c r="E18" i="5"/>
  <c r="E8" i="7" s="1"/>
  <c r="D21" i="5"/>
  <c r="D23" i="5"/>
  <c r="D18" i="5"/>
  <c r="D13" i="6" s="1"/>
  <c r="E19" i="5"/>
  <c r="E9" i="7" s="1"/>
  <c r="E24" i="5"/>
  <c r="E14" i="7" s="1"/>
  <c r="D22" i="5"/>
  <c r="E23" i="5"/>
  <c r="E13" i="7" s="1"/>
  <c r="E22" i="5"/>
  <c r="E12" i="7" s="1"/>
  <c r="D20" i="5"/>
  <c r="E21" i="5"/>
  <c r="E11" i="7" s="1"/>
  <c r="D24" i="5"/>
  <c r="I10" i="5"/>
  <c r="I14" i="5" s="1"/>
  <c r="I43" i="13" s="1"/>
  <c r="J9" i="5"/>
  <c r="K9" i="5" s="1"/>
  <c r="D9" i="7" l="1"/>
  <c r="G10" i="8"/>
  <c r="F10" i="8"/>
  <c r="I21" i="5"/>
  <c r="I11" i="7" s="1"/>
  <c r="I22" i="5"/>
  <c r="I12" i="7" s="1"/>
  <c r="I23" i="5"/>
  <c r="I13" i="7" s="1"/>
  <c r="I24" i="5"/>
  <c r="I14" i="7" s="1"/>
  <c r="I20" i="5"/>
  <c r="I10" i="7" s="1"/>
  <c r="I19" i="5"/>
  <c r="I9" i="7" s="1"/>
  <c r="I18" i="5"/>
  <c r="I8" i="7" s="1"/>
  <c r="D19" i="6"/>
  <c r="D14" i="7"/>
  <c r="D8" i="7"/>
  <c r="H25" i="5"/>
  <c r="H16" i="6"/>
  <c r="H17" i="6"/>
  <c r="H18" i="6"/>
  <c r="H13" i="6"/>
  <c r="H14" i="6"/>
  <c r="H19" i="6"/>
  <c r="H15" i="6"/>
  <c r="F9" i="6"/>
  <c r="F41" i="13" s="1"/>
  <c r="D18" i="6"/>
  <c r="D13" i="7"/>
  <c r="G9" i="6"/>
  <c r="G41" i="13" s="1"/>
  <c r="D15" i="6"/>
  <c r="D10" i="7"/>
  <c r="D16" i="6"/>
  <c r="D11" i="7"/>
  <c r="D17" i="6"/>
  <c r="D12" i="7"/>
  <c r="E19" i="6"/>
  <c r="E15" i="6"/>
  <c r="E14" i="6"/>
  <c r="E13" i="6"/>
  <c r="E18" i="6"/>
  <c r="E16" i="6"/>
  <c r="E17" i="6"/>
  <c r="D25" i="5"/>
  <c r="D15" i="7" s="1"/>
  <c r="E25" i="5"/>
  <c r="E15" i="7" s="1"/>
  <c r="E17" i="7" s="1"/>
  <c r="J10" i="5"/>
  <c r="J14" i="5" s="1"/>
  <c r="J43" i="13" s="1"/>
  <c r="H15" i="7" l="1"/>
  <c r="H17" i="7" s="1"/>
  <c r="H10" i="8" s="1"/>
  <c r="D17" i="13"/>
  <c r="E10" i="8"/>
  <c r="F10" i="9"/>
  <c r="F8" i="8"/>
  <c r="F11" i="8" s="1"/>
  <c r="F21" i="7"/>
  <c r="F25" i="7" s="1"/>
  <c r="G10" i="9"/>
  <c r="G8" i="8"/>
  <c r="G11" i="8" s="1"/>
  <c r="G21" i="7"/>
  <c r="G25" i="7" s="1"/>
  <c r="D17" i="7"/>
  <c r="D9" i="6"/>
  <c r="H9" i="6"/>
  <c r="H41" i="13" s="1"/>
  <c r="I25" i="5"/>
  <c r="I15" i="7" s="1"/>
  <c r="I17" i="7" s="1"/>
  <c r="I14" i="6"/>
  <c r="I15" i="6"/>
  <c r="I17" i="6"/>
  <c r="I19" i="6"/>
  <c r="I16" i="6"/>
  <c r="I13" i="6"/>
  <c r="I18" i="6"/>
  <c r="J21" i="5"/>
  <c r="J11" i="7" s="1"/>
  <c r="J22" i="5"/>
  <c r="J12" i="7" s="1"/>
  <c r="J23" i="5"/>
  <c r="J13" i="7" s="1"/>
  <c r="J24" i="5"/>
  <c r="J14" i="7" s="1"/>
  <c r="J20" i="5"/>
  <c r="J10" i="7" s="1"/>
  <c r="J19" i="5"/>
  <c r="J9" i="7" s="1"/>
  <c r="J18" i="5"/>
  <c r="J8" i="7" s="1"/>
  <c r="E9" i="6"/>
  <c r="E41" i="13" s="1"/>
  <c r="K10" i="5"/>
  <c r="K14" i="5" s="1"/>
  <c r="K43" i="13" s="1"/>
  <c r="L9" i="5"/>
  <c r="D41" i="13" l="1"/>
  <c r="D10" i="9"/>
  <c r="I10" i="8"/>
  <c r="G12" i="8"/>
  <c r="G13" i="8" s="1"/>
  <c r="G42" i="13" s="1"/>
  <c r="G26" i="7"/>
  <c r="F12" i="8"/>
  <c r="F13" i="8" s="1"/>
  <c r="F42" i="13" s="1"/>
  <c r="F26" i="7"/>
  <c r="E10" i="9"/>
  <c r="E8" i="8"/>
  <c r="E11" i="8" s="1"/>
  <c r="E21" i="7"/>
  <c r="E25" i="7" s="1"/>
  <c r="H21" i="7"/>
  <c r="H25" i="7" s="1"/>
  <c r="H10" i="9"/>
  <c r="H8" i="8"/>
  <c r="D21" i="7"/>
  <c r="D25" i="7" s="1"/>
  <c r="D12" i="8" s="1"/>
  <c r="D8" i="8"/>
  <c r="D10" i="8"/>
  <c r="I9" i="6"/>
  <c r="I41" i="13" s="1"/>
  <c r="J25" i="5"/>
  <c r="J15" i="7" s="1"/>
  <c r="J17" i="7" s="1"/>
  <c r="J15" i="6"/>
  <c r="J14" i="6"/>
  <c r="J16" i="6"/>
  <c r="J18" i="6"/>
  <c r="J17" i="6"/>
  <c r="J19" i="6"/>
  <c r="J13" i="6"/>
  <c r="K21" i="5"/>
  <c r="K11" i="7" s="1"/>
  <c r="K22" i="5"/>
  <c r="K12" i="7" s="1"/>
  <c r="K23" i="5"/>
  <c r="K13" i="7" s="1"/>
  <c r="K24" i="5"/>
  <c r="K14" i="7" s="1"/>
  <c r="K20" i="5"/>
  <c r="K10" i="7" s="1"/>
  <c r="K19" i="5"/>
  <c r="K9" i="7" s="1"/>
  <c r="K18" i="5"/>
  <c r="K8" i="7" s="1"/>
  <c r="L10" i="5"/>
  <c r="L14" i="5" s="1"/>
  <c r="L43" i="13" s="1"/>
  <c r="M9" i="5"/>
  <c r="M10" i="5" s="1"/>
  <c r="M14" i="5" s="1"/>
  <c r="M43" i="13" s="1"/>
  <c r="H11" i="8" l="1"/>
  <c r="D12" i="13"/>
  <c r="F21" i="8"/>
  <c r="F16" i="8"/>
  <c r="G16" i="8"/>
  <c r="G21" i="8"/>
  <c r="J10" i="8"/>
  <c r="I21" i="7"/>
  <c r="I25" i="7" s="1"/>
  <c r="I10" i="9"/>
  <c r="I8" i="8"/>
  <c r="I11" i="8" s="1"/>
  <c r="H12" i="8"/>
  <c r="H26" i="7"/>
  <c r="D26" i="7"/>
  <c r="E12" i="8"/>
  <c r="E13" i="8" s="1"/>
  <c r="E42" i="13" s="1"/>
  <c r="E26" i="7"/>
  <c r="D11" i="8"/>
  <c r="K25" i="5"/>
  <c r="K15" i="7" s="1"/>
  <c r="K17" i="7" s="1"/>
  <c r="K19" i="6"/>
  <c r="K13" i="6"/>
  <c r="K16" i="6"/>
  <c r="K14" i="6"/>
  <c r="K17" i="6"/>
  <c r="K18" i="6"/>
  <c r="K15" i="6"/>
  <c r="M21" i="5"/>
  <c r="M11" i="7" s="1"/>
  <c r="M22" i="5"/>
  <c r="M12" i="7" s="1"/>
  <c r="M23" i="5"/>
  <c r="M13" i="7" s="1"/>
  <c r="M24" i="5"/>
  <c r="M14" i="7" s="1"/>
  <c r="M20" i="5"/>
  <c r="M10" i="7" s="1"/>
  <c r="M19" i="5"/>
  <c r="M9" i="7" s="1"/>
  <c r="M18" i="5"/>
  <c r="M8" i="7" s="1"/>
  <c r="L21" i="5"/>
  <c r="L11" i="7" s="1"/>
  <c r="L22" i="5"/>
  <c r="L12" i="7" s="1"/>
  <c r="L24" i="5"/>
  <c r="L14" i="7" s="1"/>
  <c r="L19" i="5"/>
  <c r="L9" i="7" s="1"/>
  <c r="L23" i="5"/>
  <c r="L13" i="7" s="1"/>
  <c r="L20" i="5"/>
  <c r="L10" i="7" s="1"/>
  <c r="L18" i="5"/>
  <c r="L8" i="7" s="1"/>
  <c r="J9" i="6"/>
  <c r="J41" i="13" s="1"/>
  <c r="D13" i="8" l="1"/>
  <c r="D42" i="13" s="1"/>
  <c r="H13" i="8"/>
  <c r="K10" i="8"/>
  <c r="E21" i="8"/>
  <c r="E16" i="8"/>
  <c r="I12" i="8"/>
  <c r="I13" i="8" s="1"/>
  <c r="I42" i="13" s="1"/>
  <c r="I26" i="7"/>
  <c r="G18" i="8"/>
  <c r="G19" i="8" s="1"/>
  <c r="G8" i="9" s="1"/>
  <c r="G12" i="9" s="1"/>
  <c r="G8" i="10" s="1"/>
  <c r="G10" i="10" s="1"/>
  <c r="D21" i="8"/>
  <c r="D16" i="8"/>
  <c r="D18" i="8" s="1"/>
  <c r="F18" i="8"/>
  <c r="F19" i="8" s="1"/>
  <c r="F8" i="9" s="1"/>
  <c r="F12" i="9" s="1"/>
  <c r="F8" i="10" s="1"/>
  <c r="F10" i="10" s="1"/>
  <c r="J21" i="7"/>
  <c r="J25" i="7" s="1"/>
  <c r="J10" i="9"/>
  <c r="J8" i="8"/>
  <c r="J11" i="8" s="1"/>
  <c r="L25" i="5"/>
  <c r="L15" i="7" s="1"/>
  <c r="L17" i="7" s="1"/>
  <c r="L17" i="6"/>
  <c r="L18" i="6"/>
  <c r="L15" i="6"/>
  <c r="L19" i="6"/>
  <c r="L13" i="6"/>
  <c r="L14" i="6"/>
  <c r="L16" i="6"/>
  <c r="K9" i="6"/>
  <c r="K41" i="13" s="1"/>
  <c r="M25" i="5"/>
  <c r="M15" i="7" s="1"/>
  <c r="M17" i="7" s="1"/>
  <c r="M16" i="6"/>
  <c r="M18" i="6"/>
  <c r="M14" i="6"/>
  <c r="M17" i="6"/>
  <c r="M19" i="6"/>
  <c r="M13" i="6"/>
  <c r="M15" i="6"/>
  <c r="D13" i="13" l="1"/>
  <c r="H42" i="13"/>
  <c r="H21" i="8"/>
  <c r="D14" i="13" s="1"/>
  <c r="H16" i="8"/>
  <c r="H18" i="8" s="1"/>
  <c r="H19" i="8" s="1"/>
  <c r="H8" i="9" s="1"/>
  <c r="H12" i="9" s="1"/>
  <c r="H8" i="10" s="1"/>
  <c r="H10" i="10" s="1"/>
  <c r="M10" i="8"/>
  <c r="L10" i="8"/>
  <c r="I16" i="8"/>
  <c r="I21" i="8"/>
  <c r="D19" i="8"/>
  <c r="D8" i="9" s="1"/>
  <c r="K8" i="8"/>
  <c r="K11" i="8" s="1"/>
  <c r="K21" i="7"/>
  <c r="K25" i="7" s="1"/>
  <c r="K10" i="9"/>
  <c r="E18" i="8"/>
  <c r="E19" i="8" s="1"/>
  <c r="E8" i="9" s="1"/>
  <c r="E12" i="9" s="1"/>
  <c r="E8" i="10" s="1"/>
  <c r="E10" i="10" s="1"/>
  <c r="J12" i="8"/>
  <c r="J13" i="8" s="1"/>
  <c r="J42" i="13" s="1"/>
  <c r="J26" i="7"/>
  <c r="M9" i="6"/>
  <c r="M41" i="13" s="1"/>
  <c r="L9" i="6"/>
  <c r="L41" i="13" s="1"/>
  <c r="D12" i="9" l="1"/>
  <c r="D8" i="10" s="1"/>
  <c r="D14" i="9"/>
  <c r="L10" i="9"/>
  <c r="L8" i="8"/>
  <c r="L11" i="8" s="1"/>
  <c r="L21" i="7"/>
  <c r="L25" i="7" s="1"/>
  <c r="J16" i="8"/>
  <c r="J21" i="8"/>
  <c r="I18" i="8"/>
  <c r="I19" i="8" s="1"/>
  <c r="I8" i="9" s="1"/>
  <c r="I12" i="9" s="1"/>
  <c r="I8" i="10" s="1"/>
  <c r="I10" i="10" s="1"/>
  <c r="K12" i="8"/>
  <c r="K13" i="8" s="1"/>
  <c r="K42" i="13" s="1"/>
  <c r="K26" i="7"/>
  <c r="M10" i="9"/>
  <c r="M8" i="8"/>
  <c r="M11" i="8" s="1"/>
  <c r="M21" i="7"/>
  <c r="M25" i="7" s="1"/>
  <c r="J18" i="8" l="1"/>
  <c r="J19" i="8" s="1"/>
  <c r="J8" i="9" s="1"/>
  <c r="J12" i="9" s="1"/>
  <c r="J8" i="10" s="1"/>
  <c r="J10" i="10" s="1"/>
  <c r="M12" i="8"/>
  <c r="M13" i="8" s="1"/>
  <c r="M42" i="13" s="1"/>
  <c r="M26" i="7"/>
  <c r="K16" i="8"/>
  <c r="K21" i="8"/>
  <c r="D10" i="10"/>
  <c r="L12" i="8"/>
  <c r="L13" i="8" s="1"/>
  <c r="L42" i="13" s="1"/>
  <c r="L26" i="7"/>
  <c r="E14" i="9"/>
  <c r="F14" i="9" s="1"/>
  <c r="G14" i="9" s="1"/>
  <c r="H14" i="9" s="1"/>
  <c r="I14" i="9" s="1"/>
  <c r="J14" i="9" l="1"/>
  <c r="M21" i="8"/>
  <c r="M16" i="8"/>
  <c r="K18" i="8"/>
  <c r="K19" i="8" s="1"/>
  <c r="K8" i="9" s="1"/>
  <c r="K12" i="9" s="1"/>
  <c r="L16" i="8"/>
  <c r="L21" i="8"/>
  <c r="K8" i="10" l="1"/>
  <c r="K14" i="9"/>
  <c r="L18" i="8"/>
  <c r="L19" i="8" s="1"/>
  <c r="L8" i="9" s="1"/>
  <c r="L12" i="9" s="1"/>
  <c r="L8" i="10" s="1"/>
  <c r="L10" i="10" s="1"/>
  <c r="M18" i="8"/>
  <c r="M19" i="8" s="1"/>
  <c r="M8" i="9" s="1"/>
  <c r="M12" i="9" s="1"/>
  <c r="M8" i="10" s="1"/>
  <c r="M10" i="10" s="1"/>
  <c r="L14" i="9" l="1"/>
  <c r="M14" i="9" s="1"/>
  <c r="K10" i="10"/>
  <c r="C12" i="10" a="1"/>
  <c r="C12" i="10" s="1"/>
  <c r="D10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<sst xmlns="http://schemas.openxmlformats.org/spreadsheetml/2006/main" count="339" uniqueCount="191">
  <si>
    <t>Project Model &amp; Finances</t>
  </si>
  <si>
    <t>Scenario</t>
  </si>
  <si>
    <t>Discount Rate (WACC)</t>
  </si>
  <si>
    <t>Corporate Tax Rate</t>
  </si>
  <si>
    <t>Inflation Rate (Opex)</t>
  </si>
  <si>
    <t>Inflation Rate (Reimbursement)</t>
  </si>
  <si>
    <t>Volume Growth</t>
  </si>
  <si>
    <t>Facility Ops</t>
  </si>
  <si>
    <t>Facility/Capacity Assumptions</t>
  </si>
  <si>
    <t>Facility Size (sq ft)</t>
  </si>
  <si>
    <t># OR</t>
  </si>
  <si>
    <t># Procedure Rooms</t>
  </si>
  <si>
    <t>Operating Days/Year</t>
  </si>
  <si>
    <t>OR cases/OR day</t>
  </si>
  <si>
    <t>Procedure Cases/Room/Day</t>
  </si>
  <si>
    <t>OR utilization at steady state</t>
  </si>
  <si>
    <t>procedure room utilization at steady state</t>
  </si>
  <si>
    <t>average turnover time (minutes)</t>
  </si>
  <si>
    <t>CAPEX Assumptions</t>
  </si>
  <si>
    <t>construction cost($/sq ft)</t>
  </si>
  <si>
    <t>sofr cost (% of construction)</t>
  </si>
  <si>
    <t># Robotic Systems</t>
  </si>
  <si>
    <t>Robot Purchases Price (each)</t>
  </si>
  <si>
    <t>robot annual service contract (each)</t>
  </si>
  <si>
    <t>other medical equipment (lump sum)</t>
  </si>
  <si>
    <t>IT intergration (lump sum)</t>
  </si>
  <si>
    <t>working capital at opening (% of year 1 revenue)</t>
  </si>
  <si>
    <t>Surgical Tech</t>
  </si>
  <si>
    <t>Sterile Processing Tech</t>
  </si>
  <si>
    <t>Radiology/Imaging Tech (float)</t>
  </si>
  <si>
    <t>Pre-op / Admissions / Front Desk</t>
  </si>
  <si>
    <t>Materials / Supply Chain</t>
  </si>
  <si>
    <t>Facility Manager / Biomed</t>
  </si>
  <si>
    <t>ASC Administrator</t>
  </si>
  <si>
    <t>Billing/Coding</t>
  </si>
  <si>
    <t>Role</t>
  </si>
  <si>
    <t>FTE</t>
  </si>
  <si>
    <t>Fully-loaded $/FTE</t>
  </si>
  <si>
    <t>Financial Analyst</t>
  </si>
  <si>
    <t>Case mix, payer mix, reimbursement and variable costs (Medicare base + multipliers)</t>
  </si>
  <si>
    <t>Commercial</t>
  </si>
  <si>
    <t>Medicare</t>
  </si>
  <si>
    <t>Medicaid</t>
  </si>
  <si>
    <t>Self-pay</t>
  </si>
  <si>
    <t>Payer</t>
  </si>
  <si>
    <t>Share</t>
  </si>
  <si>
    <t>Medicare vs Multiplier</t>
  </si>
  <si>
    <t>ENT</t>
  </si>
  <si>
    <t>GI Endoscopy (procedure rooms)</t>
  </si>
  <si>
    <t>Mix %</t>
  </si>
  <si>
    <t>Check</t>
  </si>
  <si>
    <t>Comm%</t>
  </si>
  <si>
    <t>Medicare%</t>
  </si>
  <si>
    <t>Medicaid%</t>
  </si>
  <si>
    <t>Self-pay%</t>
  </si>
  <si>
    <t>Ramp Y1</t>
  </si>
  <si>
    <t>Ramp Y2</t>
  </si>
  <si>
    <t>Base Case</t>
  </si>
  <si>
    <t>High Commercial Mix</t>
  </si>
  <si>
    <t>Medicare Shift</t>
  </si>
  <si>
    <t>Fast Ramp</t>
  </si>
  <si>
    <t>Slow Ramp</t>
  </si>
  <si>
    <t>Line Item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</si>
  <si>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</si>
  <si>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</si>
  <si>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</si>
  <si>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</si>
  <si>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</si>
  <si>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</si>
  <si>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</si>
  <si>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</si>
  <si>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</si>
  <si>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</si>
  <si>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</si>
  <si>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Construction Hard Cost</t>
  </si>
  <si>
    <t>Metric</t>
  </si>
  <si>
    <t>Payer-weighted</t>
  </si>
  <si>
    <t>Total Revenue</t>
  </si>
  <si>
    <t>Revenue by Service Line</t>
  </si>
  <si>
    <t>EBITDA</t>
  </si>
  <si>
    <t>EBIT</t>
  </si>
  <si>
    <t>NOPAT</t>
  </si>
  <si>
    <t>EBITDA Margin</t>
  </si>
  <si>
    <t xml:space="preserve"> </t>
  </si>
  <si>
    <t>NPV</t>
  </si>
  <si>
    <t>Notes</t>
  </si>
  <si>
    <t>Value</t>
  </si>
  <si>
    <t>Content</t>
  </si>
  <si>
    <t>Dashboard</t>
  </si>
  <si>
    <t>Input</t>
  </si>
  <si>
    <t>Scenarios</t>
  </si>
  <si>
    <t>Capex</t>
  </si>
  <si>
    <t>Volume</t>
  </si>
  <si>
    <t>Revenue</t>
  </si>
  <si>
    <t>Opex</t>
  </si>
  <si>
    <t>P&amp;L</t>
  </si>
  <si>
    <t>DCF</t>
  </si>
  <si>
    <t>Cash Flow</t>
  </si>
  <si>
    <t>Year 5 Revenue</t>
  </si>
  <si>
    <t>Year 5 EBITDA</t>
  </si>
  <si>
    <t>Used for NPV.</t>
  </si>
  <si>
    <t>Applied to EBIT for unlevered FCF.</t>
  </si>
  <si>
    <t>Annual inflation for salaries &amp; fixed costs after opening.</t>
  </si>
  <si>
    <t>Annual reimbursement inflation after opening.</t>
  </si>
  <si>
    <t>(utilities, insurance, maintenance) – % of revenue</t>
  </si>
  <si>
    <t>Design/permits/FF&amp;E project mgmt.</t>
  </si>
  <si>
    <t>Per robot purchase cost assumption.</t>
  </si>
  <si>
    <t>Annual service contract example from a federal procurement listing.</t>
  </si>
  <si>
    <t>Anesthesia machines, tables, scopes, sterilization, imaging, etc.</t>
  </si>
  <si>
    <t>EHR interfaces, scheduling, networking, analytics.</t>
  </si>
  <si>
    <t>Initial net working capital investment.</t>
  </si>
  <si>
    <t>Total Annual Staffing Costs $ (Y1)</t>
  </si>
  <si>
    <t>Other Medical Equipment</t>
  </si>
  <si>
    <t>Total Variable Costs</t>
  </si>
  <si>
    <t>OPEX Assumptions</t>
  </si>
  <si>
    <t>Robotic disposables cost/case</t>
  </si>
  <si>
    <t>Marketing/Referral</t>
  </si>
  <si>
    <t>Free Chash Flow</t>
  </si>
  <si>
    <t>Discount Factor</t>
  </si>
  <si>
    <t>Add Back Depreciation</t>
  </si>
  <si>
    <t>Change In Net Working Capital</t>
  </si>
  <si>
    <t>Free Cash Flow</t>
  </si>
  <si>
    <t/>
  </si>
  <si>
    <t>NOPTA</t>
  </si>
  <si>
    <t>Cumulative FCF</t>
  </si>
  <si>
    <t>Variable Costs</t>
  </si>
  <si>
    <t>Contribution Margin</t>
  </si>
  <si>
    <t>Fixed Costs</t>
  </si>
  <si>
    <t>Depreciation</t>
  </si>
  <si>
    <t>Taxes</t>
  </si>
  <si>
    <t>Present Value Of FC</t>
  </si>
  <si>
    <t>Variable Cost By Specialty/Service Line</t>
  </si>
  <si>
    <t>Robotic Cases (Subset Of Delivered)</t>
  </si>
  <si>
    <t>Staffing Costs</t>
  </si>
  <si>
    <t>Robot Service Contracts</t>
  </si>
  <si>
    <t>Marketing/Referral Development</t>
  </si>
  <si>
    <t>Total Fixed Costs</t>
  </si>
  <si>
    <t>Total Operating Costs (Fixed + Variable)</t>
  </si>
  <si>
    <t>Soft Costs (% Of Construction)</t>
  </si>
  <si>
    <t>Robotic Purchase</t>
  </si>
  <si>
    <t>It Integration</t>
  </si>
  <si>
    <t>Subtotal (Hard + Soft)</t>
  </si>
  <si>
    <t>Risk Buffer</t>
  </si>
  <si>
    <t>Total CAPEX</t>
  </si>
  <si>
    <t>Depreciatin</t>
  </si>
  <si>
    <t>Building Useful Life (Years)</t>
  </si>
  <si>
    <t>Building Depreciation</t>
  </si>
  <si>
    <t>Equipment Depreciation</t>
  </si>
  <si>
    <t>Total Depreciation</t>
  </si>
  <si>
    <t>Equipment Useful Life (Years)</t>
  </si>
  <si>
    <t>RN/PACU</t>
  </si>
  <si>
    <t>Year 5 EBITDA Margin</t>
  </si>
  <si>
    <t>Year 5 Delivered Cases</t>
  </si>
  <si>
    <t>Year 5 Robotic Cases</t>
  </si>
  <si>
    <t>Cases/Year</t>
  </si>
  <si>
    <t>Ramp Factor</t>
  </si>
  <si>
    <t>Demanded Cases</t>
  </si>
  <si>
    <t>Or Capacity</t>
  </si>
  <si>
    <t>Procedure Room Capacity/Year</t>
  </si>
  <si>
    <t>Total Capacity/Year</t>
  </si>
  <si>
    <t>Delivered Cases</t>
  </si>
  <si>
    <t>Delivered Cases By Specialty (Based On Inputs Mix %)</t>
  </si>
  <si>
    <t>Robotic Cases</t>
  </si>
  <si>
    <t>Project Dashboard</t>
  </si>
  <si>
    <t>Key Model Assumptions &amp; Inputs</t>
  </si>
  <si>
    <t>Capital Expenditures &amp; Depreciation Schedule</t>
  </si>
  <si>
    <t>Volume Ramp &amp; Case Capacity Analysis</t>
  </si>
  <si>
    <t>Scenario Control</t>
  </si>
  <si>
    <t>Revenue Model &amp; Service Line Forecast</t>
  </si>
  <si>
    <t>Operating Cost Forecast</t>
  </si>
  <si>
    <t>Projected Profit &amp; Loss Statement</t>
  </si>
  <si>
    <t>Unlevered Free Cash Flow Schedule</t>
  </si>
  <si>
    <t>Discounted Cash Flow Valuation Summary</t>
  </si>
  <si>
    <t>Orthopedics</t>
  </si>
  <si>
    <t xml:space="preserve">General Surgery </t>
  </si>
  <si>
    <t xml:space="preserve">Urology </t>
  </si>
  <si>
    <t xml:space="preserve">OBGYN </t>
  </si>
  <si>
    <t>Ophthalmology</t>
  </si>
  <si>
    <t>Annual growth after ramp complete</t>
  </si>
  <si>
    <t>% of theoretical capacity.</t>
  </si>
  <si>
    <t xml:space="preserve">Risk Buffer </t>
  </si>
  <si>
    <t>% of hard costs</t>
  </si>
  <si>
    <t xml:space="preserve">da Vinci Xi </t>
  </si>
  <si>
    <r>
      <t xml:space="preserve">Ambulatory Surgery Center Development with 2 Robotic Systems
</t>
    </r>
    <r>
      <rPr>
        <sz val="12"/>
        <color theme="2" tint="-9.9978637043366805E-2"/>
        <rFont val="Arial"/>
        <family val="2"/>
      </rPr>
      <t>Capital Budgeting, Volume Ramp, Operating Cost, Cash Flow, and DCF Analysis</t>
    </r>
  </si>
  <si>
    <t>Medicare Base Reimbursement/Case</t>
  </si>
  <si>
    <t>Service Line</t>
  </si>
  <si>
    <t>Variable Cost/Case</t>
  </si>
  <si>
    <t>% Robotic Cases</t>
  </si>
  <si>
    <t>Staffing Assumptions</t>
  </si>
  <si>
    <t>Base Salary</t>
  </si>
  <si>
    <t>Benefits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</si>
</sst>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2"/>
      <color theme="1"/>
      <name val="Arial"/>
      <family val="2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scheme val="minor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sz val="14"/>
      <color rgb="FF112AFF"/>
      <name val="Arial"/>
      <family val="2"/>
    </font>
    <font>
      <sz val="14"/>
      <color rgb="FF910069"/>
      <name val="Aptos Narrow"/>
      <scheme val="minor"/>
    </font>
    <font>
      <b/>
      <sz val="20"/>
      <color theme="0"/>
      <name val="Arial"/>
      <family val="2"/>
    </font>
    <font>
      <u/>
      <sz val="14"/>
      <color theme="10"/>
      <name val="Aptos Narrow"/>
      <family val="2"/>
      <scheme val="minor"/>
    </font>
    <font>
      <sz val="12"/>
      <color theme="2" tint="-9.9978637043366805E-2"/>
      <name val="Arial"/>
      <family val="2"/>
    </font>
    <font>
      <b/>
      <sz val="2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</cellStyleXfs>
  <cellXfs count="199">
    <xf numFmtId="0" fontId="0" fillId="0" borderId="0" xfId="0"/>
    <xf numFmtId="0" fontId="0" fillId="2" borderId="0" xfId="0" applyFill="1"/>
    <xf numFmtId="0" fontId="8" fillId="0" borderId="0" xfId="5" applyFont="1"/>
    <xf numFmtId="0" fontId="8" fillId="2" borderId="4" xfId="5" applyFont="1" applyFill="1" applyBorder="1"/>
    <xf numFmtId="0" fontId="8" fillId="2" borderId="0" xfId="5" applyFont="1" applyFill="1"/>
    <xf numFmtId="0" fontId="8" fillId="2" borderId="5" xfId="5" applyFont="1" applyFill="1" applyBorder="1"/>
    <xf numFmtId="0" fontId="10" fillId="2" borderId="0" xfId="5" applyFont="1" applyFill="1"/>
    <xf numFmtId="0" fontId="11" fillId="2" borderId="0" xfId="5" applyFont="1" applyFill="1"/>
    <xf numFmtId="0" fontId="4" fillId="2" borderId="4" xfId="5" applyFont="1" applyFill="1" applyBorder="1"/>
    <xf numFmtId="0" fontId="6" fillId="2" borderId="0" xfId="4" applyFill="1" applyBorder="1" applyProtection="1"/>
    <xf numFmtId="0" fontId="4" fillId="2" borderId="0" xfId="5" applyFont="1" applyFill="1"/>
    <xf numFmtId="0" fontId="8" fillId="0" borderId="4" xfId="5" applyFont="1" applyBorder="1"/>
    <xf numFmtId="0" fontId="8" fillId="0" borderId="5" xfId="5" applyFont="1" applyBorder="1"/>
    <xf numFmtId="0" fontId="7" fillId="0" borderId="0" xfId="5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Alignment="1">
      <alignment vertical="center"/>
    </xf>
    <xf numFmtId="0" fontId="5" fillId="2" borderId="0" xfId="0" applyFont="1" applyFill="1"/>
    <xf numFmtId="165" fontId="5" fillId="2" borderId="0" xfId="2" applyNumberFormat="1" applyFont="1" applyFill="1" applyBorder="1" applyAlignment="1">
      <alignment horizontal="center" vertical="center"/>
    </xf>
    <xf numFmtId="165" fontId="5" fillId="2" borderId="5" xfId="2" applyNumberFormat="1" applyFont="1" applyFill="1" applyBorder="1" applyAlignment="1">
      <alignment horizontal="center" vertical="center"/>
    </xf>
    <xf numFmtId="0" fontId="11" fillId="2" borderId="4" xfId="0" applyFont="1" applyFill="1" applyBorder="1"/>
    <xf numFmtId="43" fontId="14" fillId="2" borderId="0" xfId="1" applyFont="1" applyFill="1" applyBorder="1" applyAlignment="1">
      <alignment horizontal="center" vertical="center"/>
    </xf>
    <xf numFmtId="164" fontId="14" fillId="2" borderId="0" xfId="1" applyNumberFormat="1" applyFont="1" applyFill="1" applyBorder="1" applyAlignment="1">
      <alignment horizontal="center" vertical="center"/>
    </xf>
    <xf numFmtId="164" fontId="14" fillId="2" borderId="5" xfId="1" applyNumberFormat="1" applyFont="1" applyFill="1" applyBorder="1" applyAlignment="1">
      <alignment horizontal="center" vertical="center"/>
    </xf>
    <xf numFmtId="43" fontId="14" fillId="2" borderId="5" xfId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0" xfId="0" applyFont="1" applyFill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6" xfId="0" applyFont="1" applyFill="1" applyBorder="1"/>
    <xf numFmtId="43" fontId="14" fillId="2" borderId="7" xfId="1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" fontId="14" fillId="2" borderId="5" xfId="0" applyNumberFormat="1" applyFont="1" applyFill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164" fontId="14" fillId="2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/>
    <xf numFmtId="0" fontId="11" fillId="2" borderId="4" xfId="0" applyFont="1" applyFill="1" applyBorder="1" applyAlignment="1">
      <alignment horizontal="center" vertical="center"/>
    </xf>
    <xf numFmtId="165" fontId="14" fillId="2" borderId="0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43" fontId="11" fillId="2" borderId="0" xfId="1" applyFont="1" applyFill="1" applyBorder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165" fontId="11" fillId="2" borderId="5" xfId="0" applyNumberFormat="1" applyFont="1" applyFill="1" applyBorder="1" applyAlignment="1">
      <alignment horizontal="center" vertical="center"/>
    </xf>
    <xf numFmtId="0" fontId="11" fillId="0" borderId="0" xfId="0" applyFont="1"/>
    <xf numFmtId="165" fontId="14" fillId="2" borderId="0" xfId="0" applyNumberFormat="1" applyFont="1" applyFill="1" applyAlignment="1">
      <alignment horizontal="center" vertical="center"/>
    </xf>
    <xf numFmtId="165" fontId="14" fillId="2" borderId="5" xfId="0" applyNumberFormat="1" applyFont="1" applyFill="1" applyBorder="1" applyAlignment="1">
      <alignment horizontal="center" vertical="center"/>
    </xf>
    <xf numFmtId="43" fontId="11" fillId="2" borderId="7" xfId="1" applyFont="1" applyFill="1" applyBorder="1" applyAlignment="1">
      <alignment horizontal="center" vertical="center"/>
    </xf>
    <xf numFmtId="165" fontId="11" fillId="2" borderId="7" xfId="2" applyNumberFormat="1" applyFont="1" applyFill="1" applyBorder="1" applyAlignment="1">
      <alignment horizontal="center" vertical="center"/>
    </xf>
    <xf numFmtId="165" fontId="11" fillId="2" borderId="8" xfId="2" applyNumberFormat="1" applyFont="1" applyFill="1" applyBorder="1" applyAlignment="1">
      <alignment horizontal="center" vertical="center"/>
    </xf>
    <xf numFmtId="165" fontId="11" fillId="2" borderId="7" xfId="0" applyNumberFormat="1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4" fillId="2" borderId="6" xfId="0" applyFont="1" applyFill="1" applyBorder="1"/>
    <xf numFmtId="0" fontId="14" fillId="2" borderId="7" xfId="0" applyFont="1" applyFill="1" applyBorder="1" applyAlignment="1">
      <alignment horizontal="center" vertical="center"/>
    </xf>
    <xf numFmtId="164" fontId="14" fillId="2" borderId="7" xfId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9" fontId="14" fillId="2" borderId="0" xfId="3" applyFont="1" applyFill="1" applyBorder="1" applyAlignment="1">
      <alignment horizontal="center" vertical="center"/>
    </xf>
    <xf numFmtId="9" fontId="14" fillId="2" borderId="5" xfId="3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64" fontId="14" fillId="2" borderId="5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vertical="center"/>
    </xf>
    <xf numFmtId="9" fontId="14" fillId="2" borderId="7" xfId="3" applyFont="1" applyFill="1" applyBorder="1" applyAlignment="1">
      <alignment horizontal="center" vertical="center"/>
    </xf>
    <xf numFmtId="9" fontId="14" fillId="2" borderId="8" xfId="3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9" fontId="16" fillId="2" borderId="0" xfId="3" applyFont="1" applyFill="1" applyBorder="1" applyAlignment="1">
      <alignment horizontal="center" vertical="center"/>
    </xf>
    <xf numFmtId="9" fontId="16" fillId="2" borderId="7" xfId="3" applyFont="1" applyFill="1" applyBorder="1" applyAlignment="1">
      <alignment horizontal="center" vertical="center"/>
    </xf>
    <xf numFmtId="164" fontId="16" fillId="2" borderId="0" xfId="1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165" fontId="16" fillId="2" borderId="0" xfId="2" applyNumberFormat="1" applyFont="1" applyFill="1" applyBorder="1" applyAlignment="1">
      <alignment horizontal="center" vertical="center"/>
    </xf>
    <xf numFmtId="9" fontId="16" fillId="0" borderId="0" xfId="3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9" fontId="11" fillId="2" borderId="7" xfId="3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5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9" fontId="14" fillId="2" borderId="7" xfId="3" applyFont="1" applyFill="1" applyBorder="1" applyAlignment="1">
      <alignment vertical="center"/>
    </xf>
    <xf numFmtId="0" fontId="13" fillId="0" borderId="0" xfId="0" applyFont="1" applyAlignment="1">
      <alignment vertical="center"/>
    </xf>
    <xf numFmtId="164" fontId="16" fillId="2" borderId="0" xfId="1" applyNumberFormat="1" applyFont="1" applyFill="1" applyBorder="1" applyAlignment="1">
      <alignment vertical="center"/>
    </xf>
    <xf numFmtId="9" fontId="0" fillId="0" borderId="0" xfId="0" applyNumberFormat="1" applyAlignment="1">
      <alignment vertical="center"/>
    </xf>
    <xf numFmtId="9" fontId="0" fillId="0" borderId="0" xfId="3" applyFont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10" fontId="11" fillId="2" borderId="7" xfId="3" applyNumberFormat="1" applyFont="1" applyFill="1" applyBorder="1" applyAlignment="1">
      <alignment horizontal="center" vertical="center"/>
    </xf>
    <xf numFmtId="10" fontId="11" fillId="2" borderId="8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2" borderId="4" xfId="0" applyFont="1" applyFill="1" applyBorder="1" applyAlignment="1">
      <alignment vertical="center"/>
    </xf>
    <xf numFmtId="165" fontId="14" fillId="2" borderId="7" xfId="2" applyNumberFormat="1" applyFont="1" applyFill="1" applyBorder="1" applyAlignment="1">
      <alignment horizontal="center" vertical="center"/>
    </xf>
    <xf numFmtId="165" fontId="14" fillId="2" borderId="8" xfId="2" applyNumberFormat="1" applyFont="1" applyFill="1" applyBorder="1" applyAlignment="1">
      <alignment horizontal="center" vertical="center"/>
    </xf>
    <xf numFmtId="165" fontId="16" fillId="2" borderId="7" xfId="2" applyNumberFormat="1" applyFont="1" applyFill="1" applyBorder="1" applyAlignment="1">
      <alignment horizontal="center" vertical="center"/>
    </xf>
    <xf numFmtId="9" fontId="16" fillId="2" borderId="5" xfId="3" applyFont="1" applyFill="1" applyBorder="1" applyAlignment="1">
      <alignment horizontal="center" vertical="center"/>
    </xf>
    <xf numFmtId="9" fontId="11" fillId="2" borderId="7" xfId="0" applyNumberFormat="1" applyFont="1" applyFill="1" applyBorder="1" applyAlignment="1">
      <alignment horizontal="center" vertical="center"/>
    </xf>
    <xf numFmtId="166" fontId="16" fillId="2" borderId="0" xfId="2" applyNumberFormat="1" applyFont="1" applyFill="1" applyBorder="1" applyAlignment="1">
      <alignment horizontal="center" vertical="center"/>
    </xf>
    <xf numFmtId="166" fontId="16" fillId="2" borderId="0" xfId="2" applyNumberFormat="1" applyFont="1" applyFill="1" applyBorder="1" applyAlignment="1">
      <alignment horizontal="right" vertical="center"/>
    </xf>
    <xf numFmtId="6" fontId="11" fillId="2" borderId="11" xfId="0" applyNumberFormat="1" applyFont="1" applyFill="1" applyBorder="1" applyAlignment="1">
      <alignment horizontal="center" vertical="center"/>
    </xf>
    <xf numFmtId="0" fontId="5" fillId="2" borderId="5" xfId="0" applyFont="1" applyFill="1" applyBorder="1"/>
    <xf numFmtId="164" fontId="5" fillId="2" borderId="7" xfId="1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43" fontId="4" fillId="0" borderId="0" xfId="0" applyNumberFormat="1" applyFont="1" applyAlignment="1">
      <alignment vertical="center"/>
    </xf>
    <xf numFmtId="0" fontId="14" fillId="3" borderId="4" xfId="0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4" fontId="11" fillId="2" borderId="7" xfId="1" applyNumberFormat="1" applyFont="1" applyFill="1" applyBorder="1" applyAlignment="1">
      <alignment horizontal="center" vertical="center"/>
    </xf>
    <xf numFmtId="164" fontId="11" fillId="2" borderId="8" xfId="1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5" fontId="11" fillId="2" borderId="0" xfId="2" applyNumberFormat="1" applyFont="1" applyFill="1" applyBorder="1" applyAlignment="1">
      <alignment horizontal="center" vertical="center"/>
    </xf>
    <xf numFmtId="165" fontId="11" fillId="2" borderId="5" xfId="2" applyNumberFormat="1" applyFont="1" applyFill="1" applyBorder="1" applyAlignment="1">
      <alignment horizontal="center" vertical="center"/>
    </xf>
    <xf numFmtId="0" fontId="19" fillId="2" borderId="0" xfId="4" applyFont="1" applyFill="1" applyBorder="1" applyProtection="1"/>
    <xf numFmtId="0" fontId="19" fillId="2" borderId="0" xfId="4" applyFont="1" applyFill="1" applyBorder="1"/>
    <xf numFmtId="0" fontId="19" fillId="2" borderId="0" xfId="4" applyFont="1" applyFill="1"/>
    <xf numFmtId="0" fontId="13" fillId="4" borderId="2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5" fillId="4" borderId="3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9" fontId="16" fillId="4" borderId="2" xfId="3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/>
    </xf>
    <xf numFmtId="165" fontId="5" fillId="2" borderId="12" xfId="2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/>
    </xf>
    <xf numFmtId="164" fontId="5" fillId="2" borderId="20" xfId="1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 indent="1"/>
    </xf>
    <xf numFmtId="0" fontId="17" fillId="4" borderId="16" xfId="0" applyFont="1" applyFill="1" applyBorder="1" applyAlignment="1">
      <alignment vertical="center"/>
    </xf>
    <xf numFmtId="0" fontId="13" fillId="4" borderId="9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vertical="center"/>
    </xf>
    <xf numFmtId="0" fontId="14" fillId="4" borderId="10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indent="1"/>
    </xf>
    <xf numFmtId="0" fontId="5" fillId="0" borderId="12" xfId="0" applyFont="1" applyBorder="1"/>
    <xf numFmtId="6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5" fillId="0" borderId="12" xfId="2" applyNumberFormat="1" applyFont="1" applyFill="1" applyBorder="1" applyAlignment="1">
      <alignment horizontal="center" vertical="center"/>
    </xf>
    <xf numFmtId="10" fontId="5" fillId="0" borderId="12" xfId="0" applyNumberFormat="1" applyFont="1" applyBorder="1" applyAlignment="1">
      <alignment horizontal="center" vertical="center"/>
    </xf>
    <xf numFmtId="164" fontId="5" fillId="0" borderId="12" xfId="1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left" indent="1"/>
    </xf>
    <xf numFmtId="164" fontId="5" fillId="0" borderId="18" xfId="1" applyNumberFormat="1" applyFont="1" applyFill="1" applyBorder="1" applyAlignment="1">
      <alignment horizontal="center" vertical="center"/>
    </xf>
    <xf numFmtId="0" fontId="11" fillId="2" borderId="21" xfId="0" applyFont="1" applyFill="1" applyBorder="1"/>
    <xf numFmtId="43" fontId="11" fillId="2" borderId="22" xfId="1" applyFont="1" applyFill="1" applyBorder="1" applyAlignment="1">
      <alignment horizontal="center" vertical="center"/>
    </xf>
    <xf numFmtId="165" fontId="11" fillId="2" borderId="22" xfId="2" applyNumberFormat="1" applyFont="1" applyFill="1" applyBorder="1" applyAlignment="1">
      <alignment horizontal="center" vertical="center"/>
    </xf>
    <xf numFmtId="165" fontId="11" fillId="2" borderId="23" xfId="2" applyNumberFormat="1" applyFont="1" applyFill="1" applyBorder="1" applyAlignment="1">
      <alignment horizontal="center" vertical="center"/>
    </xf>
    <xf numFmtId="165" fontId="11" fillId="2" borderId="22" xfId="0" applyNumberFormat="1" applyFont="1" applyFill="1" applyBorder="1" applyAlignment="1">
      <alignment horizontal="center" vertical="center"/>
    </xf>
    <xf numFmtId="165" fontId="11" fillId="2" borderId="23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indent="2"/>
    </xf>
    <xf numFmtId="0" fontId="9" fillId="4" borderId="2" xfId="0" applyFont="1" applyFill="1" applyBorder="1" applyAlignment="1">
      <alignment horizontal="left" vertical="center" indent="2"/>
    </xf>
    <xf numFmtId="0" fontId="9" fillId="4" borderId="3" xfId="0" applyFont="1" applyFill="1" applyBorder="1" applyAlignment="1">
      <alignment horizontal="left" vertical="center" indent="2"/>
    </xf>
    <xf numFmtId="0" fontId="9" fillId="4" borderId="6" xfId="0" applyFont="1" applyFill="1" applyBorder="1" applyAlignment="1">
      <alignment horizontal="left" vertical="center" indent="2"/>
    </xf>
    <xf numFmtId="0" fontId="9" fillId="4" borderId="7" xfId="0" applyFont="1" applyFill="1" applyBorder="1" applyAlignment="1">
      <alignment horizontal="left" vertical="center" indent="2"/>
    </xf>
    <xf numFmtId="0" fontId="9" fillId="4" borderId="8" xfId="0" applyFont="1" applyFill="1" applyBorder="1" applyAlignment="1">
      <alignment horizontal="left" vertical="center" indent="2"/>
    </xf>
    <xf numFmtId="0" fontId="9" fillId="4" borderId="1" xfId="5" applyFont="1" applyFill="1" applyBorder="1" applyAlignment="1">
      <alignment horizontal="left" vertical="center" wrapText="1" indent="12"/>
    </xf>
    <xf numFmtId="0" fontId="9" fillId="4" borderId="2" xfId="5" applyFont="1" applyFill="1" applyBorder="1" applyAlignment="1">
      <alignment horizontal="left" vertical="center" indent="12"/>
    </xf>
    <xf numFmtId="0" fontId="9" fillId="4" borderId="3" xfId="5" applyFont="1" applyFill="1" applyBorder="1" applyAlignment="1">
      <alignment horizontal="left" vertical="center" indent="12"/>
    </xf>
    <xf numFmtId="0" fontId="9" fillId="4" borderId="4" xfId="5" applyFont="1" applyFill="1" applyBorder="1" applyAlignment="1">
      <alignment horizontal="left" vertical="center" indent="12"/>
    </xf>
    <xf numFmtId="0" fontId="9" fillId="4" borderId="0" xfId="5" applyFont="1" applyFill="1" applyAlignment="1">
      <alignment horizontal="left" vertical="center" indent="12"/>
    </xf>
    <xf numFmtId="0" fontId="9" fillId="4" borderId="5" xfId="5" applyFont="1" applyFill="1" applyBorder="1" applyAlignment="1">
      <alignment horizontal="left" vertical="center" indent="12"/>
    </xf>
    <xf numFmtId="0" fontId="9" fillId="4" borderId="6" xfId="5" applyFont="1" applyFill="1" applyBorder="1" applyAlignment="1">
      <alignment horizontal="left" vertical="center" indent="12"/>
    </xf>
    <xf numFmtId="0" fontId="9" fillId="4" borderId="7" xfId="5" applyFont="1" applyFill="1" applyBorder="1" applyAlignment="1">
      <alignment horizontal="left" vertical="center" indent="12"/>
    </xf>
    <xf numFmtId="0" fontId="9" fillId="4" borderId="8" xfId="5" applyFont="1" applyFill="1" applyBorder="1" applyAlignment="1">
      <alignment horizontal="left" vertical="center" indent="12"/>
    </xf>
    <xf numFmtId="0" fontId="8" fillId="4" borderId="1" xfId="5" applyFont="1" applyFill="1" applyBorder="1" applyAlignment="1">
      <alignment horizontal="center"/>
    </xf>
    <xf numFmtId="0" fontId="8" fillId="4" borderId="2" xfId="5" applyFont="1" applyFill="1" applyBorder="1" applyAlignment="1">
      <alignment horizontal="center"/>
    </xf>
    <xf numFmtId="0" fontId="8" fillId="4" borderId="3" xfId="5" applyFont="1" applyFill="1" applyBorder="1" applyAlignment="1">
      <alignment horizontal="center"/>
    </xf>
    <xf numFmtId="0" fontId="8" fillId="4" borderId="4" xfId="5" applyFont="1" applyFill="1" applyBorder="1" applyAlignment="1">
      <alignment horizontal="center"/>
    </xf>
    <xf numFmtId="0" fontId="8" fillId="4" borderId="0" xfId="5" applyFont="1" applyFill="1" applyAlignment="1">
      <alignment horizontal="center"/>
    </xf>
    <xf numFmtId="0" fontId="8" fillId="4" borderId="5" xfId="5" applyFont="1" applyFill="1" applyBorder="1" applyAlignment="1">
      <alignment horizontal="center"/>
    </xf>
    <xf numFmtId="0" fontId="8" fillId="4" borderId="6" xfId="5" applyFont="1" applyFill="1" applyBorder="1" applyAlignment="1">
      <alignment horizontal="center"/>
    </xf>
    <xf numFmtId="0" fontId="8" fillId="4" borderId="7" xfId="5" applyFont="1" applyFill="1" applyBorder="1" applyAlignment="1">
      <alignment horizontal="center"/>
    </xf>
    <xf numFmtId="0" fontId="8" fillId="4" borderId="8" xfId="5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Hyperlink" xfId="4" builtinId="8"/>
    <cellStyle name="Normal" xfId="0" builtinId="0"/>
    <cellStyle name="Normal 2" xfId="5" xr:uid="{D0CB9DCE-0DF3-0049-9D1C-B381D064B3F6}"/>
    <cellStyle name="Percent" xfId="3" builtinId="5"/>
  </cellStyles>
  <dxfs count="0"/>
  <tableStyles count="0" defaultTableStyle="TableStyleMedium2" defaultPivotStyle="PivotStyleLight16"/>
  <colors>
    <mruColors>
      <color rgb="FF984C59"/>
      <color rgb="FFA49BAF"/>
      <color rgb="FF910069"/>
      <color rgb="FF112AFF"/>
      <color rgb="FF987801"/>
      <color rgb="FF5400A0"/>
      <color rgb="FF842EFF"/>
      <color rgb="FF6500BD"/>
      <color rgb="FF989554"/>
      <color rgb="FFA784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Dashboard!$D$40:$M$40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Dashboard!$D$41:$M$41</c:f>
              <c:numCache>
                <c:formatCode>_("$"* #,##0_);_("$"* \(#,##0\);_("$"* "-"??_);_(@_)</c:formatCode>
                <c:ptCount val="10"/>
                <c:pt idx="0">
                  <c:v>28119360.000000004</c:v>
                </c:pt>
                <c:pt idx="1">
                  <c:v>76115970</c:v>
                </c:pt>
                <c:pt idx="2">
                  <c:v>97439315.310000002</c:v>
                </c:pt>
                <c:pt idx="3">
                  <c:v>103373369.61237901</c:v>
                </c:pt>
                <c:pt idx="4">
                  <c:v>109668807.82177287</c:v>
                </c:pt>
                <c:pt idx="5">
                  <c:v>116347638.21811885</c:v>
                </c:pt>
                <c:pt idx="6">
                  <c:v>123433209.38560228</c:v>
                </c:pt>
                <c:pt idx="7">
                  <c:v>130950291.83718549</c:v>
                </c:pt>
                <c:pt idx="8">
                  <c:v>138925164.61007005</c:v>
                </c:pt>
                <c:pt idx="9">
                  <c:v>147385707.13482332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A-4C44-ABDF-25ECE2681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2876927"/>
        <c:axId val="193355647"/>
      </c:lineChart>
      <c:catAx>
        <c:axId val="19287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5647"/>
        <c:crosses val="autoZero"/>
        <c:auto val="1"/>
        <c:lblAlgn val="ctr"/>
        <c:lblOffset val="100"/>
        <c:noMultiLvlLbl val="0"/>
      </c:catAx>
      <c:valAx>
        <c:axId val="19335564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69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EBITDA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Dashboard!$D$40:$M$40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Dashboard!$D$42:$M$42</c:f>
              <c:numCache>
                <c:formatCode>_("$"* #,##0_);_("$"* \(#,##0\);_("$"* "-"??_);_(@_)</c:formatCode>
                <c:ptCount val="10"/>
                <c:pt idx="0">
                  <c:v>4812655.6000000034</c:v>
                </c:pt>
                <c:pt idx="1">
                  <c:v>39393569.622999996</c:v>
                </c:pt>
                <c:pt idx="2">
                  <c:v>52572938.551728994</c:v>
                </c:pt>
                <c:pt idx="3">
                  <c:v>56047364.678550109</c:v>
                </c:pt>
                <c:pt idx="4">
                  <c:v>59741565.381565213</c:v>
                </c:pt>
                <c:pt idx="5">
                  <c:v>63669170.393216699</c:v>
                </c:pt>
                <c:pt idx="6">
                  <c:v>67844646.860475183</c:v>
                </c:pt>
                <c:pt idx="7">
                  <c:v>72283350.564299092</c:v>
                </c:pt>
                <c:pt idx="8">
                  <c:v>77001580.264986455</c:v>
                </c:pt>
                <c:pt idx="9">
                  <c:v>82016635.363985345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4D-0146-9B72-117B033CD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2949631"/>
        <c:axId val="192952319"/>
      </c:lineChart>
      <c:catAx>
        <c:axId val="19294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2319"/>
        <c:crosses val="autoZero"/>
        <c:auto val="1"/>
        <c:lblAlgn val="ctr"/>
        <c:lblOffset val="100"/>
        <c:noMultiLvlLbl val="0"/>
      </c:catAx>
      <c:valAx>
        <c:axId val="192952319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963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Delivered Cases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Dashboard!$D$40:$M$40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Dashboard!$D$43:$M$43</c:f>
              <c:numCache>
                <c:formatCode>_(* #,##0_);_(* \(#,##0\);_(* "-"??_);_(@_)</c:formatCode>
                <c:ptCount val="10"/>
                <c:pt idx="0">
                  <c:v>3000</c:v>
                </c:pt>
                <c:pt idx="1">
                  <c:v>5250</c:v>
                </c:pt>
                <c:pt idx="2">
                  <c:v>6525</c:v>
                </c:pt>
                <c:pt idx="3">
                  <c:v>6720.75</c:v>
                </c:pt>
                <c:pt idx="4">
                  <c:v>6922.3725000000004</c:v>
                </c:pt>
                <c:pt idx="5">
                  <c:v>7130.0436749999999</c:v>
                </c:pt>
                <c:pt idx="6">
                  <c:v>7343.9449852500002</c:v>
                </c:pt>
                <c:pt idx="7">
                  <c:v>7564.2633348074996</c:v>
                </c:pt>
                <c:pt idx="8">
                  <c:v>7791.1912348517253</c:v>
                </c:pt>
                <c:pt idx="9">
                  <c:v>8024.9269718972773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C-F94E-BC71-F62F4094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3087679"/>
        <c:axId val="192961535"/>
      </c:lineChart>
      <c:catAx>
        <c:axId val="19308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1535"/>
        <c:crosses val="autoZero"/>
        <c:auto val="1"/>
        <c:lblAlgn val="ctr"/>
        <c:lblOffset val="100"/>
        <c:noMultiLvlLbl val="0"/>
      </c:catAx>
      <c:valAx>
        <c:axId val="19296153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6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Style="combo" dx="15" fmlaLink="Volume!$D$5" fmlaRange="Scenarios!$B$6:$B$10" sel="1" val="0"/>
</file>

<file path=xl/ctrlProps/ctrlProp2.xml><?xml version="1.0" encoding="utf-8"?>
<formControlPr xmlns="http://schemas.microsoft.com/office/spreadsheetml/2009/9/main" objectType="Drop" dropStyle="combo" dx="15" fmlaLink="$D$5" fmlaRange="Scenarios!$B$6:$B$10" sel="1" val="0"/>
</file>

<file path=xl/ctrlProps/ctrlProp3.xml><?xml version="1.0" encoding="utf-8"?>
<formControlPr xmlns="http://schemas.microsoft.com/office/spreadsheetml/2009/9/main" objectType="Drop" dropStyle="combo" dx="15" fmlaLink="Volume!$D$5" fmlaRange="Scenarios!$B$6:$B$10" sel="1" val="0"/>
</file>

<file path=xl/ctrlProps/ctrlProp4.xml><?xml version="1.0" encoding="utf-8"?>
<formControlPr xmlns="http://schemas.microsoft.com/office/spreadsheetml/2009/9/main" objectType="Drop" dropStyle="combo" dx="15" fmlaLink="Volume!$D$5" fmlaRange="Scenarios!$B$6:$B$10" sel="1" val="0"/>
</file>

<file path=xl/ctrlProps/ctrlProp5.xml><?xml version="1.0" encoding="utf-8"?>
<formControlPr xmlns="http://schemas.microsoft.com/office/spreadsheetml/2009/9/main" objectType="Drop" dropStyle="combo" dx="15" fmlaLink="Volume!$D$5" fmlaRange="Scenarios!$B$6:$B$10" sel="1" val="0"/>
</file>

<file path=xl/ctrlProps/ctrlProp6.xml><?xml version="1.0" encoding="utf-8"?>
<formControlPr xmlns="http://schemas.microsoft.com/office/spreadsheetml/2009/9/main" objectType="Drop" dropStyle="combo" dx="15" fmlaLink="Volume!$D$5" fmlaRange="Scenarios!$B$6:$B$10" sel="1" val="0"/>
</file>

<file path=xl/ctrlProps/ctrlProp7.xml><?xml version="1.0" encoding="utf-8"?>
<formControlPr xmlns="http://schemas.microsoft.com/office/spreadsheetml/2009/9/main" objectType="Drop" dropStyle="combo" dx="15" fmlaLink="Volume!$D$5" fmlaRange="Scenarios!$B$6:$B$10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linkedin.com/in/alali794/" TargetMode="External"/><Relationship Id="rId1" Type="http://schemas.openxmlformats.org/officeDocument/2006/relationships/hyperlink" Target="https://github.com/abalali794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530842</xdr:colOff>
      <xdr:row>2</xdr:row>
      <xdr:rowOff>74897</xdr:rowOff>
    </xdr:from>
    <xdr:to>
      <xdr:col>14</xdr:col>
      <xdr:colOff>237067</xdr:colOff>
      <xdr:row>4</xdr:row>
      <xdr:rowOff>411356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A1EA3-C5E3-524C-9474-AC65E0293779}"/>
            </a:ext>
          </a:extLst>
        </xdr:cNvPr>
        <xdr:cNvSpPr txBox="1"/>
      </xdr:nvSpPr>
      <xdr:spPr>
        <a:xfrm>
          <a:off x="8718109" y="472830"/>
          <a:ext cx="3025158" cy="692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Prepared by </a:t>
          </a:r>
          <a:r>
            <a:rPr lang="en-US" sz="12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Abdulrahman Alali</a:t>
          </a:r>
        </a:p>
        <a:p>
          <a:r>
            <a:rPr lang="en-US" sz="120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MHA</a:t>
          </a: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|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Saint Louis University</a:t>
          </a:r>
        </a:p>
        <a:p>
          <a:r>
            <a:rPr lang="en-US" sz="1200" baseline="0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MS Finance </a:t>
          </a:r>
          <a:r>
            <a:rPr lang="en-US" sz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| Johns Hopkins University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282518</xdr:colOff>
      <xdr:row>24</xdr:row>
      <xdr:rowOff>167551</xdr:rowOff>
    </xdr:from>
    <xdr:to>
      <xdr:col>8</xdr:col>
      <xdr:colOff>290286</xdr:colOff>
      <xdr:row>27</xdr:row>
      <xdr:rowOff>170224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A0BEC-5142-174E-915D-87C823E87A10}"/>
            </a:ext>
          </a:extLst>
        </xdr:cNvPr>
        <xdr:cNvSpPr txBox="1"/>
      </xdr:nvSpPr>
      <xdr:spPr>
        <a:xfrm>
          <a:off x="4168718" y="5285651"/>
          <a:ext cx="2484268" cy="53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000" b="0" cap="none" spc="0">
              <a:ln w="0"/>
              <a:solidFill>
                <a:schemeClr val="bg2">
                  <a:lumMod val="9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https://github.com/abalali794</a:t>
          </a:r>
        </a:p>
      </xdr:txBody>
    </xdr:sp>
    <xdr:clientData/>
  </xdr:twoCellAnchor>
  <xdr:twoCellAnchor>
    <xdr:from>
      <xdr:col>2</xdr:col>
      <xdr:colOff>84667</xdr:colOff>
      <xdr:row>24</xdr:row>
      <xdr:rowOff>152403</xdr:rowOff>
    </xdr:from>
    <xdr:to>
      <xdr:col>4</xdr:col>
      <xdr:colOff>299357</xdr:colOff>
      <xdr:row>27</xdr:row>
      <xdr:rowOff>161760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C477EB-52AD-A444-8D8F-105FD39B8DE5}"/>
            </a:ext>
          </a:extLst>
        </xdr:cNvPr>
        <xdr:cNvSpPr txBox="1"/>
      </xdr:nvSpPr>
      <xdr:spPr>
        <a:xfrm>
          <a:off x="465667" y="5270503"/>
          <a:ext cx="2894390" cy="542757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1" algn="ctr"/>
          <a:r>
            <a:rPr lang="en-US" sz="1050" b="0" cap="none" spc="0">
              <a:ln w="0">
                <a:noFill/>
              </a:ln>
              <a:solidFill>
                <a:schemeClr val="bg2">
                  <a:lumMod val="9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https://www.linkedin.com/in/alali794/</a:t>
          </a:r>
        </a:p>
      </xdr:txBody>
    </xdr:sp>
    <xdr:clientData/>
  </xdr:twoCellAnchor>
  <xdr:twoCellAnchor editAs="oneCell">
    <xdr:from>
      <xdr:col>1</xdr:col>
      <xdr:colOff>201335</xdr:colOff>
      <xdr:row>24</xdr:row>
      <xdr:rowOff>114969</xdr:rowOff>
    </xdr:from>
    <xdr:to>
      <xdr:col>2</xdr:col>
      <xdr:colOff>496754</xdr:colOff>
      <xdr:row>27</xdr:row>
      <xdr:rowOff>197549</xdr:rowOff>
    </xdr:to>
    <xdr:pic>
      <xdr:nvPicPr>
        <xdr:cNvPr id="5" name="Picture 4" descr="Linkedin Icons - Free Download in SVG, PNG">
          <a:extLst>
            <a:ext uri="{FF2B5EF4-FFF2-40B4-BE49-F238E27FC236}">
              <a16:creationId xmlns:a16="http://schemas.microsoft.com/office/drawing/2014/main" id="{6B7045C3-3F3E-864A-835E-F42911D21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35" y="5233069"/>
          <a:ext cx="621712" cy="615980"/>
        </a:xfrm>
        <a:prstGeom prst="rect">
          <a:avLst/>
        </a:prstGeom>
        <a:noFill/>
        <a:ln>
          <a:noFill/>
        </a:ln>
        <a:effectLst>
          <a:glow rad="123250">
            <a:schemeClr val="bg1">
              <a:alpha val="30197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153214</xdr:colOff>
      <xdr:row>24</xdr:row>
      <xdr:rowOff>115441</xdr:rowOff>
    </xdr:from>
    <xdr:to>
      <xdr:col>5</xdr:col>
      <xdr:colOff>775006</xdr:colOff>
      <xdr:row>27</xdr:row>
      <xdr:rowOff>193410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2D6F3C-03C7-BA4A-926A-A9F6F62FE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41014" y="5254708"/>
          <a:ext cx="621792" cy="611369"/>
        </a:xfrm>
        <a:prstGeom prst="rect">
          <a:avLst/>
        </a:prstGeom>
        <a:ln>
          <a:noFill/>
        </a:ln>
        <a:effectLst>
          <a:glow rad="123250">
            <a:schemeClr val="bg1">
              <a:alpha val="30197"/>
            </a:schemeClr>
          </a:glow>
        </a:effectLst>
      </xdr:spPr>
    </xdr:pic>
    <xdr:clientData/>
  </xdr:twoCellAnchor>
  <xdr:twoCellAnchor>
    <xdr:from>
      <xdr:col>11</xdr:col>
      <xdr:colOff>762000</xdr:colOff>
      <xdr:row>25</xdr:row>
      <xdr:rowOff>126999</xdr:rowOff>
    </xdr:from>
    <xdr:to>
      <xdr:col>14</xdr:col>
      <xdr:colOff>448734</xdr:colOff>
      <xdr:row>27</xdr:row>
      <xdr:rowOff>84666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0F32C5-E026-A94C-8D42-2ABC39BA1507}"/>
            </a:ext>
          </a:extLst>
        </xdr:cNvPr>
        <xdr:cNvSpPr txBox="1"/>
      </xdr:nvSpPr>
      <xdr:spPr>
        <a:xfrm>
          <a:off x="9601200" y="5422899"/>
          <a:ext cx="2163234" cy="313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v1.0 | Last Updated: 10/3/2026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161529</xdr:colOff>
      <xdr:row>2</xdr:row>
      <xdr:rowOff>54429</xdr:rowOff>
    </xdr:from>
    <xdr:to>
      <xdr:col>2</xdr:col>
      <xdr:colOff>402391</xdr:colOff>
      <xdr:row>4</xdr:row>
      <xdr:rowOff>226784</xdr:rowOff>
    </xdr:to>
    <xdr:pic>
      <xdr:nvPicPr>
        <xdr:cNvPr id="8" name="Picture 7" descr="Hospital - Free business icons">
          <a:extLst>
            <a:ext uri="{FF2B5EF4-FFF2-40B4-BE49-F238E27FC236}">
              <a16:creationId xmlns:a16="http://schemas.microsoft.com/office/drawing/2014/main" id="{59540554-4F5A-FA47-BBD1-04A265BD6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29" y="321129"/>
          <a:ext cx="567155" cy="527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7</xdr:row>
          <xdr:rowOff>25400</xdr:rowOff>
        </xdr:from>
        <xdr:to>
          <xdr:col>3</xdr:col>
          <xdr:colOff>1384300</xdr:colOff>
          <xdr:row>7</xdr:row>
          <xdr:rowOff>304800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397359</xdr:colOff>
      <xdr:row>6</xdr:row>
      <xdr:rowOff>77235</xdr:rowOff>
    </xdr:from>
    <xdr:to>
      <xdr:col>8</xdr:col>
      <xdr:colOff>458267</xdr:colOff>
      <xdr:row>20</xdr:row>
      <xdr:rowOff>17761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5A6E0-5C0A-1CD1-629C-54048AD94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369456</xdr:colOff>
      <xdr:row>20</xdr:row>
      <xdr:rowOff>173182</xdr:rowOff>
    </xdr:from>
    <xdr:to>
      <xdr:col>8</xdr:col>
      <xdr:colOff>439617</xdr:colOff>
      <xdr:row>37</xdr:row>
      <xdr:rowOff>107024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66C1DF-E9B3-29C8-7D70-91BF51E5C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659574</xdr:colOff>
      <xdr:row>6</xdr:row>
      <xdr:rowOff>92985</xdr:rowOff>
    </xdr:from>
    <xdr:to>
      <xdr:col>12</xdr:col>
      <xdr:colOff>1154545</xdr:colOff>
      <xdr:row>20</xdr:row>
      <xdr:rowOff>27530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3255DE-7811-DC0C-ACE7-3C59EABE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4</xdr:row>
          <xdr:rowOff>12700</xdr:rowOff>
        </xdr:from>
        <xdr:to>
          <xdr:col>4</xdr:col>
          <xdr:colOff>927100</xdr:colOff>
          <xdr:row>4</xdr:row>
          <xdr:rowOff>279400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</xdr:row>
          <xdr:rowOff>12700</xdr:rowOff>
        </xdr:from>
        <xdr:to>
          <xdr:col>5</xdr:col>
          <xdr:colOff>2146300</xdr:colOff>
          <xdr:row>4</xdr:row>
          <xdr:rowOff>304800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6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4</xdr:row>
          <xdr:rowOff>12700</xdr:rowOff>
        </xdr:from>
        <xdr:to>
          <xdr:col>6</xdr:col>
          <xdr:colOff>1689100</xdr:colOff>
          <xdr:row>4</xdr:row>
          <xdr:rowOff>279400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7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4</xdr:row>
          <xdr:rowOff>12700</xdr:rowOff>
        </xdr:from>
        <xdr:to>
          <xdr:col>6</xdr:col>
          <xdr:colOff>2019300</xdr:colOff>
          <xdr:row>4</xdr:row>
          <xdr:rowOff>317500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8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4</xdr:row>
          <xdr:rowOff>38100</xdr:rowOff>
        </xdr:from>
        <xdr:to>
          <xdr:col>7</xdr:col>
          <xdr:colOff>12700</xdr:colOff>
          <xdr:row>4</xdr:row>
          <xdr:rowOff>330200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9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4</xdr:row>
          <xdr:rowOff>25400</xdr:rowOff>
        </xdr:from>
        <xdr:to>
          <xdr:col>6</xdr:col>
          <xdr:colOff>1917700</xdr:colOff>
          <xdr:row>4</xdr:row>
          <xdr:rowOff>355600</xdr:rowOff>
        </xdr:to>
        <xdr:sp macro="" textlink="">
          <xdr:nvSpPr>
            <xdr:cNvPr id="10242" name="Drop Dow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A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214F-B513-B24D-8B4B-09BBDA791CE1}">
  <dimension ref="B1:N33"/>
  <sheetViews>
    <sheetView showGridLines="0" zoomScale="136" zoomScaleNormal="150" workbookViewId="0">
      <selection activeCell="Q38" sqref="Q38"/>
    </sheetView>
  </sheetViews>
  <sheetFormatPr baseColWidth="10" defaultRowHeight="14" x14ac:dyDescent="0.15"/>
  <cols>
    <col min="1" max="1" width="4.5" style="2" customWidth="1"/>
    <col min="2" max="2" width="4.1640625" style="2" customWidth="1"/>
    <col min="3" max="3" width="24.33203125" style="2" customWidth="1"/>
    <col min="4" max="16384" width="10.83203125" style="2"/>
  </cols>
  <sheetData>
    <row r="1" spans="2:14" ht="23" customHeight="1" thickBot="1" x14ac:dyDescent="0.2"/>
    <row r="2" spans="2:14" x14ac:dyDescent="0.15">
      <c r="B2" s="174" t="s">
        <v>183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6"/>
    </row>
    <row r="3" spans="2:14" x14ac:dyDescent="0.15"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9"/>
    </row>
    <row r="4" spans="2:14" x14ac:dyDescent="0.15">
      <c r="B4" s="177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9"/>
    </row>
    <row r="5" spans="2:14" ht="35" customHeight="1" thickBot="1" x14ac:dyDescent="0.2">
      <c r="B5" s="180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2"/>
    </row>
    <row r="6" spans="2:14" x14ac:dyDescent="0.15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</row>
    <row r="7" spans="2:14" ht="20" x14ac:dyDescent="0.2">
      <c r="B7" s="3"/>
      <c r="C7" s="6" t="s">
        <v>87</v>
      </c>
      <c r="D7" s="4"/>
      <c r="E7" s="4"/>
      <c r="F7" s="4"/>
      <c r="G7" s="4"/>
      <c r="H7" s="4"/>
      <c r="I7" s="4"/>
      <c r="J7" s="4"/>
      <c r="K7" s="4"/>
      <c r="L7" s="4"/>
      <c r="M7" s="4"/>
      <c r="N7" s="5"/>
    </row>
    <row r="8" spans="2:14" ht="7" customHeight="1" x14ac:dyDescent="0.2">
      <c r="B8" s="3"/>
      <c r="C8" s="7"/>
      <c r="D8" s="4"/>
      <c r="E8" s="4"/>
      <c r="F8" s="4"/>
      <c r="G8" s="4"/>
      <c r="H8" s="4"/>
      <c r="I8" s="4"/>
      <c r="J8" s="4"/>
      <c r="K8" s="4"/>
      <c r="L8" s="4"/>
      <c r="M8" s="4"/>
      <c r="N8" s="5"/>
    </row>
    <row r="9" spans="2:14" ht="16" x14ac:dyDescent="0.2">
      <c r="B9" s="8"/>
      <c r="C9" s="9"/>
      <c r="D9" s="10"/>
      <c r="E9" s="4"/>
      <c r="F9" s="4"/>
      <c r="G9" s="4"/>
      <c r="H9" s="4"/>
      <c r="I9" s="4"/>
      <c r="J9" s="4"/>
      <c r="K9" s="4"/>
      <c r="L9" s="4"/>
      <c r="M9" s="4"/>
      <c r="N9" s="5"/>
    </row>
    <row r="10" spans="2:14" ht="19" x14ac:dyDescent="0.25">
      <c r="B10" s="8"/>
      <c r="C10" s="119" t="s">
        <v>88</v>
      </c>
      <c r="D10" s="10"/>
      <c r="E10" s="4"/>
      <c r="F10" s="4"/>
      <c r="G10" s="4"/>
      <c r="H10" s="4"/>
      <c r="I10" s="4"/>
      <c r="J10" s="4"/>
      <c r="K10" s="4"/>
      <c r="L10" s="4"/>
      <c r="M10" s="4"/>
      <c r="N10" s="5"/>
    </row>
    <row r="11" spans="2:14" ht="19" x14ac:dyDescent="0.25">
      <c r="B11" s="8"/>
      <c r="C11" s="119" t="s">
        <v>89</v>
      </c>
      <c r="D11" s="10"/>
      <c r="E11" s="4"/>
      <c r="F11" s="4"/>
      <c r="G11" s="4"/>
      <c r="H11" s="4"/>
      <c r="I11" s="4"/>
      <c r="J11" s="4"/>
      <c r="K11" s="4"/>
      <c r="L11" s="4"/>
      <c r="M11" s="4"/>
      <c r="N11" s="5"/>
    </row>
    <row r="12" spans="2:14" ht="19" x14ac:dyDescent="0.25">
      <c r="B12" s="8"/>
      <c r="C12" s="119" t="s">
        <v>90</v>
      </c>
      <c r="D12" s="10"/>
      <c r="E12" s="4"/>
      <c r="F12" s="4"/>
      <c r="G12" s="4"/>
      <c r="H12" s="4"/>
      <c r="I12" s="4"/>
      <c r="J12" s="4"/>
      <c r="K12" s="4"/>
      <c r="L12" s="4"/>
      <c r="M12" s="4"/>
      <c r="N12" s="5"/>
    </row>
    <row r="13" spans="2:14" ht="19" x14ac:dyDescent="0.25">
      <c r="B13" s="8"/>
      <c r="C13" s="119" t="s">
        <v>91</v>
      </c>
      <c r="D13" s="10"/>
      <c r="E13" s="4"/>
      <c r="F13" s="4"/>
      <c r="G13" s="4"/>
      <c r="H13" s="4"/>
      <c r="I13" s="4"/>
      <c r="J13" s="4"/>
      <c r="K13" s="4"/>
      <c r="L13" s="4"/>
      <c r="M13" s="4"/>
      <c r="N13" s="5"/>
    </row>
    <row r="14" spans="2:14" ht="19" x14ac:dyDescent="0.25">
      <c r="B14" s="8"/>
      <c r="C14" s="119" t="s">
        <v>92</v>
      </c>
      <c r="D14" s="10"/>
      <c r="E14" s="4"/>
      <c r="F14" s="4"/>
      <c r="G14" s="1"/>
      <c r="H14" s="4"/>
      <c r="I14" s="4"/>
      <c r="J14" s="4"/>
      <c r="K14" s="4"/>
      <c r="L14" s="4"/>
      <c r="M14" s="4"/>
      <c r="N14" s="5"/>
    </row>
    <row r="15" spans="2:14" ht="19" x14ac:dyDescent="0.25">
      <c r="B15" s="8"/>
      <c r="C15" s="119" t="s">
        <v>93</v>
      </c>
      <c r="D15" s="10"/>
      <c r="E15" s="4"/>
      <c r="F15" s="4"/>
      <c r="G15" s="4"/>
      <c r="H15" s="4"/>
      <c r="I15" s="4"/>
      <c r="J15" s="4"/>
      <c r="K15" s="4"/>
      <c r="L15" s="4"/>
      <c r="M15" s="4"/>
      <c r="N15" s="5"/>
    </row>
    <row r="16" spans="2:14" ht="19" x14ac:dyDescent="0.25">
      <c r="B16" s="8"/>
      <c r="C16" s="119" t="s">
        <v>94</v>
      </c>
      <c r="D16" s="10"/>
      <c r="E16" s="4"/>
      <c r="F16" s="4"/>
      <c r="G16" s="4"/>
      <c r="H16" s="4"/>
      <c r="I16" s="4"/>
      <c r="J16" s="4"/>
      <c r="K16" s="4"/>
      <c r="L16" s="4"/>
      <c r="M16" s="4"/>
      <c r="N16" s="5"/>
    </row>
    <row r="17" spans="2:14" ht="19" x14ac:dyDescent="0.25">
      <c r="B17" s="8"/>
      <c r="C17" s="120" t="s">
        <v>95</v>
      </c>
      <c r="D17" s="10"/>
      <c r="E17" s="4"/>
      <c r="F17" s="4"/>
      <c r="G17" s="4"/>
      <c r="H17" s="4"/>
      <c r="I17" s="4"/>
      <c r="J17" s="4"/>
      <c r="K17" s="4"/>
      <c r="L17" s="4"/>
      <c r="M17" s="4"/>
      <c r="N17" s="5"/>
    </row>
    <row r="18" spans="2:14" ht="19" x14ac:dyDescent="0.25">
      <c r="B18" s="8"/>
      <c r="C18" s="120" t="s">
        <v>97</v>
      </c>
      <c r="D18" s="10"/>
      <c r="E18" s="4"/>
      <c r="F18" s="4"/>
      <c r="G18" s="4"/>
      <c r="H18" s="4"/>
      <c r="I18" s="4"/>
      <c r="J18" s="4"/>
      <c r="K18" s="4"/>
      <c r="L18" s="4"/>
      <c r="M18" s="4"/>
      <c r="N18" s="5"/>
    </row>
    <row r="19" spans="2:14" ht="19" x14ac:dyDescent="0.25">
      <c r="B19" s="8"/>
      <c r="C19" s="121" t="s">
        <v>96</v>
      </c>
      <c r="D19" s="10"/>
      <c r="E19" s="4"/>
      <c r="F19" s="4"/>
      <c r="G19" s="4"/>
      <c r="H19" s="4"/>
      <c r="I19" s="4"/>
      <c r="J19" s="4"/>
      <c r="K19" s="4"/>
      <c r="L19" s="4"/>
      <c r="M19" s="4"/>
      <c r="N19" s="5"/>
    </row>
    <row r="20" spans="2:14" ht="19" x14ac:dyDescent="0.25">
      <c r="B20" s="8"/>
      <c r="C20" s="121"/>
      <c r="D20" s="10"/>
      <c r="E20" s="4"/>
      <c r="F20" s="4"/>
      <c r="G20" s="4"/>
      <c r="H20" s="4"/>
      <c r="I20" s="4"/>
      <c r="J20" s="4"/>
      <c r="K20" s="4"/>
      <c r="L20" s="4"/>
      <c r="M20" s="4"/>
      <c r="N20" s="5"/>
    </row>
    <row r="21" spans="2:14" x14ac:dyDescent="0.15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</row>
    <row r="22" spans="2:14" x14ac:dyDescent="0.15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</row>
    <row r="23" spans="2:14" ht="1" customHeight="1" x14ac:dyDescent="0.15">
      <c r="B23" s="11"/>
      <c r="N23" s="12"/>
    </row>
    <row r="24" spans="2:14" ht="1" customHeight="1" thickBot="1" x14ac:dyDescent="0.2">
      <c r="B24" s="11"/>
      <c r="N24" s="12"/>
    </row>
    <row r="25" spans="2:14" x14ac:dyDescent="0.15">
      <c r="B25" s="183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5"/>
    </row>
    <row r="26" spans="2:14" x14ac:dyDescent="0.15">
      <c r="B26" s="186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8"/>
    </row>
    <row r="27" spans="2:14" x14ac:dyDescent="0.15">
      <c r="B27" s="186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8"/>
    </row>
    <row r="28" spans="2:14" ht="27" customHeight="1" thickBot="1" x14ac:dyDescent="0.2">
      <c r="B28" s="189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1"/>
    </row>
    <row r="33" spans="3:3" ht="15" x14ac:dyDescent="0.2">
      <c r="C33" s="13"/>
    </row>
  </sheetData>
  <mergeCells count="2">
    <mergeCell ref="B2:N5"/>
    <mergeCell ref="B25:N28"/>
  </mergeCells>
  <hyperlinks>
    <hyperlink ref="C10" location="Dashboard!A1" display="Dashboard" xr:uid="{ABFF3457-38A2-684A-86F9-A2C74AC79AC4}"/>
    <hyperlink ref="C11" location="Input!A1" display="Input" xr:uid="{EAD5CA79-211E-004B-B4FF-BD93E876474E}"/>
    <hyperlink ref="C12" location="Scenarios!A1" display="Scenarios" xr:uid="{8B489F4F-61B4-184F-9F90-7BAF5A98D3BF}"/>
    <hyperlink ref="C13" location="Capex!A1" display="Capex" xr:uid="{DBFD0555-8BAA-2947-82F2-27626C424DDA}"/>
    <hyperlink ref="C14" location="Volume!A1" display="Volume" xr:uid="{A9746DDC-DBBB-D847-98D5-789DA497ABAD}"/>
    <hyperlink ref="C15" location="Revenue!A1" display="Revenue" xr:uid="{D80C1209-623A-C447-BFC3-62A809989E11}"/>
    <hyperlink ref="C16" location="Opex!A1" display="Opex" xr:uid="{90DEE94A-01F9-FF4C-A2F4-9BCCD7F3D959}"/>
    <hyperlink ref="C17" location="'P&amp;L'!A1" display="P&amp;L" xr:uid="{47BBF3E7-24C6-7149-8805-15388E301E93}"/>
    <hyperlink ref="C18" location="'Cash Flow'!A1" display="Cash Flow" xr:uid="{2F98E1A0-AAC0-5F44-82B6-B3E3AEABB7E8}"/>
    <hyperlink ref="C19" location="DCF!A1" display="DCF" xr:uid="{B4283154-87EC-4C49-BA09-C4EE17CB43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8F7D-A52C-644B-AB5B-58A22F95921F}">
  <dimension ref="B1:N43"/>
  <sheetViews>
    <sheetView showGridLines="0" tabSelected="1" zoomScale="110" zoomScaleNormal="110" workbookViewId="0">
      <selection activeCell="H54" sqref="H54"/>
    </sheetView>
  </sheetViews>
  <sheetFormatPr baseColWidth="10" defaultRowHeight="16" x14ac:dyDescent="0.2"/>
  <cols>
    <col min="1" max="1" width="3.83203125" customWidth="1"/>
    <col min="2" max="2" width="1.33203125" customWidth="1"/>
    <col min="3" max="3" width="23.6640625" bestFit="1" customWidth="1"/>
    <col min="4" max="4" width="18.5" customWidth="1"/>
    <col min="5" max="5" width="19" customWidth="1"/>
    <col min="6" max="6" width="15.5" bestFit="1" customWidth="1"/>
    <col min="7" max="7" width="16.83203125" bestFit="1" customWidth="1"/>
    <col min="8" max="12" width="16" bestFit="1" customWidth="1"/>
    <col min="13" max="13" width="17.6640625" customWidth="1"/>
    <col min="14" max="14" width="1.33203125" customWidth="1"/>
  </cols>
  <sheetData>
    <row r="1" spans="2:14" ht="17" thickBot="1" x14ac:dyDescent="0.25"/>
    <row r="2" spans="2:14" ht="16" customHeight="1" x14ac:dyDescent="0.2">
      <c r="B2" s="195" t="s">
        <v>163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37"/>
    </row>
    <row r="3" spans="2:14" ht="16" customHeight="1" x14ac:dyDescent="0.2">
      <c r="B3" s="197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38"/>
    </row>
    <row r="4" spans="2:14" ht="23" customHeight="1" x14ac:dyDescent="0.2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38"/>
    </row>
    <row r="5" spans="2:14" x14ac:dyDescent="0.2">
      <c r="B5" s="1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5"/>
    </row>
    <row r="6" spans="2:14" x14ac:dyDescent="0.2">
      <c r="B6" s="1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5"/>
    </row>
    <row r="7" spans="2:14" x14ac:dyDescent="0.2">
      <c r="B7" s="1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</row>
    <row r="8" spans="2:14" ht="26" customHeight="1" x14ac:dyDescent="0.25">
      <c r="B8" s="14"/>
      <c r="C8" s="147" t="s">
        <v>1</v>
      </c>
      <c r="D8" s="148"/>
      <c r="E8" s="18"/>
      <c r="F8" s="18"/>
      <c r="G8" s="18"/>
      <c r="H8" s="18"/>
      <c r="I8" s="18"/>
      <c r="J8" s="18"/>
      <c r="K8" s="18"/>
      <c r="L8" s="18"/>
      <c r="M8" s="18"/>
      <c r="N8" s="107"/>
    </row>
    <row r="9" spans="2:14" ht="19" x14ac:dyDescent="0.25">
      <c r="B9" s="14"/>
      <c r="C9" s="153"/>
      <c r="D9" s="154"/>
      <c r="E9" s="18"/>
      <c r="F9" s="18"/>
      <c r="G9" s="18"/>
      <c r="H9" s="18"/>
      <c r="I9" s="18"/>
      <c r="J9" s="18"/>
      <c r="K9" s="18"/>
      <c r="L9" s="18"/>
      <c r="M9" s="18"/>
      <c r="N9" s="107"/>
    </row>
    <row r="10" spans="2:14" ht="19" x14ac:dyDescent="0.25">
      <c r="B10" s="14"/>
      <c r="C10" s="153" t="s">
        <v>84</v>
      </c>
      <c r="D10" s="155">
        <f>DCF!C12</f>
        <v>5586255.375491011</v>
      </c>
      <c r="E10" s="18"/>
      <c r="F10" s="18"/>
      <c r="G10" s="18"/>
      <c r="H10" s="18"/>
      <c r="I10" s="18"/>
      <c r="J10" s="18"/>
      <c r="K10" s="18"/>
      <c r="L10" s="18"/>
      <c r="M10" s="18"/>
      <c r="N10" s="107"/>
    </row>
    <row r="11" spans="2:14" ht="19" x14ac:dyDescent="0.25">
      <c r="B11" s="14"/>
      <c r="C11" s="153"/>
      <c r="D11" s="156"/>
      <c r="E11" s="18"/>
      <c r="F11" s="18"/>
      <c r="G11" s="18"/>
      <c r="H11" s="18"/>
      <c r="I11" s="18"/>
      <c r="J11" s="18"/>
      <c r="K11" s="18"/>
      <c r="L11" s="18"/>
      <c r="M11" s="18"/>
      <c r="N11" s="107"/>
    </row>
    <row r="12" spans="2:14" ht="19" x14ac:dyDescent="0.25">
      <c r="B12" s="14"/>
      <c r="C12" s="153" t="s">
        <v>98</v>
      </c>
      <c r="D12" s="157">
        <f>'P&amp;L'!$H$8</f>
        <v>109668807.82177287</v>
      </c>
      <c r="E12" s="18"/>
      <c r="F12" s="18"/>
      <c r="G12" s="18"/>
      <c r="H12" s="18"/>
      <c r="I12" s="18"/>
      <c r="J12" s="18"/>
      <c r="K12" s="18"/>
      <c r="L12" s="18"/>
      <c r="M12" s="18"/>
      <c r="N12" s="107"/>
    </row>
    <row r="13" spans="2:14" ht="19" x14ac:dyDescent="0.25">
      <c r="B13" s="14"/>
      <c r="C13" s="153" t="s">
        <v>99</v>
      </c>
      <c r="D13" s="157">
        <f>'P&amp;L'!$H$13</f>
        <v>59741565.381565213</v>
      </c>
      <c r="E13" s="18"/>
      <c r="F13" s="18"/>
      <c r="G13" s="18"/>
      <c r="H13" s="18"/>
      <c r="I13" s="18"/>
      <c r="J13" s="18"/>
      <c r="K13" s="18"/>
      <c r="L13" s="18"/>
      <c r="M13" s="18"/>
      <c r="N13" s="107"/>
    </row>
    <row r="14" spans="2:14" ht="19" x14ac:dyDescent="0.25">
      <c r="B14" s="14"/>
      <c r="C14" s="153" t="s">
        <v>151</v>
      </c>
      <c r="D14" s="158">
        <f>'P&amp;L'!$H$21</f>
        <v>0.54474527961180719</v>
      </c>
      <c r="E14" s="18"/>
      <c r="F14" s="18"/>
      <c r="G14" s="18"/>
      <c r="H14" s="18"/>
      <c r="I14" s="18"/>
      <c r="J14" s="18"/>
      <c r="K14" s="18"/>
      <c r="L14" s="18"/>
      <c r="M14" s="18"/>
      <c r="N14" s="107"/>
    </row>
    <row r="15" spans="2:14" ht="19" x14ac:dyDescent="0.25">
      <c r="B15" s="14"/>
      <c r="C15" s="153"/>
      <c r="D15" s="156"/>
      <c r="E15" s="18"/>
      <c r="F15" s="18"/>
      <c r="G15" s="18"/>
      <c r="H15" s="18"/>
      <c r="I15" s="18"/>
      <c r="J15" s="18"/>
      <c r="K15" s="18"/>
      <c r="L15" s="18"/>
      <c r="M15" s="18"/>
      <c r="N15" s="107"/>
    </row>
    <row r="16" spans="2:14" ht="19" x14ac:dyDescent="0.25">
      <c r="B16" s="14"/>
      <c r="C16" s="153" t="s">
        <v>152</v>
      </c>
      <c r="D16" s="159">
        <f>Volume!$H$14</f>
        <v>6922.3725000000004</v>
      </c>
      <c r="E16" s="18"/>
      <c r="F16" s="18"/>
      <c r="G16" s="18"/>
      <c r="H16" s="18"/>
      <c r="I16" s="18"/>
      <c r="J16" s="18"/>
      <c r="K16" s="18"/>
      <c r="L16" s="18"/>
      <c r="M16" s="18"/>
      <c r="N16" s="107"/>
    </row>
    <row r="17" spans="2:14" ht="19" x14ac:dyDescent="0.25">
      <c r="B17" s="14"/>
      <c r="C17" s="160" t="s">
        <v>153</v>
      </c>
      <c r="D17" s="161">
        <f>Volume!$H$25</f>
        <v>1747.8990562500003</v>
      </c>
      <c r="E17" s="18"/>
      <c r="F17" s="18"/>
      <c r="G17" s="18"/>
      <c r="H17" s="18"/>
      <c r="I17" s="18"/>
      <c r="J17" s="18"/>
      <c r="K17" s="18"/>
      <c r="L17" s="18"/>
      <c r="M17" s="18"/>
      <c r="N17" s="107"/>
    </row>
    <row r="18" spans="2:14" ht="19" x14ac:dyDescent="0.25">
      <c r="B18" s="1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07"/>
    </row>
    <row r="19" spans="2:14" ht="19" x14ac:dyDescent="0.25">
      <c r="B19" s="1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07"/>
    </row>
    <row r="20" spans="2:14" ht="19" x14ac:dyDescent="0.25">
      <c r="B20" s="14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07"/>
    </row>
    <row r="21" spans="2:14" ht="19" x14ac:dyDescent="0.25">
      <c r="B21" s="14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07"/>
    </row>
    <row r="22" spans="2:14" ht="19" x14ac:dyDescent="0.25">
      <c r="B22" s="14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07"/>
    </row>
    <row r="23" spans="2:14" ht="19" x14ac:dyDescent="0.25">
      <c r="B23" s="14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07"/>
    </row>
    <row r="24" spans="2:14" ht="19" x14ac:dyDescent="0.25">
      <c r="B24" s="14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07"/>
    </row>
    <row r="25" spans="2:14" ht="19" x14ac:dyDescent="0.25">
      <c r="B25" s="14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07"/>
    </row>
    <row r="26" spans="2:14" ht="21" customHeight="1" x14ac:dyDescent="0.25">
      <c r="B26" s="14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07"/>
    </row>
    <row r="27" spans="2:14" ht="19" x14ac:dyDescent="0.25">
      <c r="B27" s="14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07"/>
    </row>
    <row r="28" spans="2:14" ht="19" x14ac:dyDescent="0.25">
      <c r="B28" s="1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07"/>
    </row>
    <row r="29" spans="2:14" ht="19" x14ac:dyDescent="0.25">
      <c r="B29" s="14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07"/>
    </row>
    <row r="30" spans="2:14" ht="19" x14ac:dyDescent="0.25">
      <c r="B30" s="14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07"/>
    </row>
    <row r="31" spans="2:14" ht="19" x14ac:dyDescent="0.25">
      <c r="B31" s="14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07"/>
    </row>
    <row r="32" spans="2:14" ht="19" x14ac:dyDescent="0.25">
      <c r="B32" s="1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07"/>
    </row>
    <row r="33" spans="2:14" ht="19" x14ac:dyDescent="0.25">
      <c r="B33" s="1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07"/>
    </row>
    <row r="34" spans="2:14" ht="19" x14ac:dyDescent="0.25">
      <c r="B34" s="1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07"/>
    </row>
    <row r="35" spans="2:14" ht="19" x14ac:dyDescent="0.25">
      <c r="B35" s="14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07"/>
    </row>
    <row r="36" spans="2:14" ht="19" x14ac:dyDescent="0.25">
      <c r="B36" s="14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07"/>
    </row>
    <row r="37" spans="2:14" ht="19" x14ac:dyDescent="0.25">
      <c r="B37" s="14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07"/>
    </row>
    <row r="38" spans="2:14" ht="19" x14ac:dyDescent="0.25">
      <c r="B38" s="14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07"/>
    </row>
    <row r="39" spans="2:14" ht="19" x14ac:dyDescent="0.25"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07"/>
    </row>
    <row r="40" spans="2:14" ht="19" x14ac:dyDescent="0.2">
      <c r="B40" s="14"/>
      <c r="C40" s="140" t="s">
        <v>75</v>
      </c>
      <c r="D40" s="141" t="s">
        <v>64</v>
      </c>
      <c r="E40" s="141" t="s">
        <v>65</v>
      </c>
      <c r="F40" s="141" t="s">
        <v>66</v>
      </c>
      <c r="G40" s="141" t="s">
        <v>67</v>
      </c>
      <c r="H40" s="141" t="s">
        <v>68</v>
      </c>
      <c r="I40" s="141" t="s">
        <v>69</v>
      </c>
      <c r="J40" s="141" t="s">
        <v>70</v>
      </c>
      <c r="K40" s="141" t="s">
        <v>71</v>
      </c>
      <c r="L40" s="141" t="s">
        <v>72</v>
      </c>
      <c r="M40" s="142" t="s">
        <v>73</v>
      </c>
      <c r="N40" s="139"/>
    </row>
    <row r="41" spans="2:14" ht="19" x14ac:dyDescent="0.2">
      <c r="B41" s="14"/>
      <c r="C41" s="143" t="s">
        <v>93</v>
      </c>
      <c r="D41" s="19">
        <f>Revenue!D9</f>
        <v>28119360.000000004</v>
      </c>
      <c r="E41" s="19">
        <f>Revenue!E9</f>
        <v>76115970</v>
      </c>
      <c r="F41" s="19">
        <f>Revenue!F9</f>
        <v>97439315.310000002</v>
      </c>
      <c r="G41" s="19">
        <f>Revenue!G9</f>
        <v>103373369.61237901</v>
      </c>
      <c r="H41" s="19">
        <f>Revenue!H9</f>
        <v>109668807.82177287</v>
      </c>
      <c r="I41" s="19">
        <f>Revenue!I9</f>
        <v>116347638.21811885</v>
      </c>
      <c r="J41" s="19">
        <f>Revenue!J9</f>
        <v>123433209.38560228</v>
      </c>
      <c r="K41" s="19">
        <f>Revenue!K9</f>
        <v>130950291.83718549</v>
      </c>
      <c r="L41" s="19">
        <f>Revenue!L9</f>
        <v>138925164.61007005</v>
      </c>
      <c r="M41" s="144">
        <f>Revenue!M9</f>
        <v>147385707.13482332</v>
      </c>
      <c r="N41" s="20"/>
    </row>
    <row r="42" spans="2:14" ht="19" x14ac:dyDescent="0.2">
      <c r="B42" s="14"/>
      <c r="C42" s="143" t="s">
        <v>79</v>
      </c>
      <c r="D42" s="19">
        <f>'P&amp;L'!$D$13</f>
        <v>4812655.6000000034</v>
      </c>
      <c r="E42" s="19">
        <f>'P&amp;L'!$E$13</f>
        <v>39393569.622999996</v>
      </c>
      <c r="F42" s="19">
        <f>'P&amp;L'!F13</f>
        <v>52572938.551728994</v>
      </c>
      <c r="G42" s="19">
        <f>'P&amp;L'!G13</f>
        <v>56047364.678550109</v>
      </c>
      <c r="H42" s="19">
        <f>'P&amp;L'!H13</f>
        <v>59741565.381565213</v>
      </c>
      <c r="I42" s="19">
        <f>'P&amp;L'!I13</f>
        <v>63669170.393216699</v>
      </c>
      <c r="J42" s="19">
        <f>'P&amp;L'!J13</f>
        <v>67844646.860475183</v>
      </c>
      <c r="K42" s="19">
        <f>'P&amp;L'!K13</f>
        <v>72283350.564299092</v>
      </c>
      <c r="L42" s="19">
        <f>'P&amp;L'!L13</f>
        <v>77001580.264986455</v>
      </c>
      <c r="M42" s="144">
        <f>'P&amp;L'!M13</f>
        <v>82016635.363985345</v>
      </c>
      <c r="N42" s="20"/>
    </row>
    <row r="43" spans="2:14" ht="20" thickBot="1" x14ac:dyDescent="0.25">
      <c r="B43" s="16"/>
      <c r="C43" s="145" t="s">
        <v>160</v>
      </c>
      <c r="D43" s="108">
        <f>Volume!D14</f>
        <v>3000</v>
      </c>
      <c r="E43" s="108">
        <f>Volume!E14</f>
        <v>5250</v>
      </c>
      <c r="F43" s="108">
        <f>Volume!F14</f>
        <v>6525</v>
      </c>
      <c r="G43" s="108">
        <f>Volume!G14</f>
        <v>6720.75</v>
      </c>
      <c r="H43" s="108">
        <f>Volume!H14</f>
        <v>6922.3725000000004</v>
      </c>
      <c r="I43" s="108">
        <f>Volume!I14</f>
        <v>7130.0436749999999</v>
      </c>
      <c r="J43" s="108">
        <f>Volume!J14</f>
        <v>7343.9449852500002</v>
      </c>
      <c r="K43" s="108">
        <f>Volume!K14</f>
        <v>7564.2633348074996</v>
      </c>
      <c r="L43" s="108">
        <f>Volume!L14</f>
        <v>7791.1912348517253</v>
      </c>
      <c r="M43" s="146">
        <f>Volume!M14</f>
        <v>8024.9269718972773</v>
      </c>
      <c r="N43" s="109"/>
    </row>
  </sheetData>
  <mergeCells count="1">
    <mergeCell ref="B2:M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Drop Down 1">
              <controlPr defaultSize="0" autoLine="0" autoPict="0">
                <anchor moveWithCells="1">
                  <from>
                    <xdr:col>3</xdr:col>
                    <xdr:colOff>101600</xdr:colOff>
                    <xdr:row>7</xdr:row>
                    <xdr:rowOff>25400</xdr:rowOff>
                  </from>
                  <to>
                    <xdr:col>3</xdr:col>
                    <xdr:colOff>1384300</xdr:colOff>
                    <xdr:row>7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2FBE-05D6-1A40-A775-20ED87B93C10}">
  <dimension ref="B1:F71"/>
  <sheetViews>
    <sheetView showGridLines="0" zoomScale="80" zoomScaleNormal="80" workbookViewId="0">
      <selection activeCell="AA50" sqref="AA50"/>
    </sheetView>
  </sheetViews>
  <sheetFormatPr baseColWidth="10" defaultRowHeight="18" x14ac:dyDescent="0.2"/>
  <cols>
    <col min="1" max="1" width="7.1640625" style="81" customWidth="1"/>
    <col min="2" max="2" width="40.6640625" style="81" bestFit="1" customWidth="1"/>
    <col min="3" max="3" width="20.6640625" style="81" customWidth="1"/>
    <col min="4" max="4" width="29" style="81" customWidth="1"/>
    <col min="5" max="5" width="19.33203125" style="81" customWidth="1"/>
    <col min="6" max="6" width="29" style="81" customWidth="1"/>
    <col min="7" max="16384" width="10.83203125" style="81"/>
  </cols>
  <sheetData>
    <row r="1" spans="2:6" ht="19" thickBot="1" x14ac:dyDescent="0.25"/>
    <row r="2" spans="2:6" x14ac:dyDescent="0.2">
      <c r="B2" s="168" t="s">
        <v>164</v>
      </c>
      <c r="C2" s="169"/>
      <c r="D2" s="169"/>
      <c r="E2" s="169"/>
      <c r="F2" s="170"/>
    </row>
    <row r="3" spans="2:6" ht="36" customHeight="1" thickBot="1" x14ac:dyDescent="0.25">
      <c r="B3" s="171"/>
      <c r="C3" s="172"/>
      <c r="D3" s="172"/>
      <c r="E3" s="172"/>
      <c r="F3" s="173"/>
    </row>
    <row r="5" spans="2:6" ht="18" customHeight="1" thickBot="1" x14ac:dyDescent="0.25"/>
    <row r="6" spans="2:6" ht="29" customHeight="1" x14ac:dyDescent="0.2">
      <c r="B6" s="125" t="s">
        <v>0</v>
      </c>
      <c r="C6" s="122" t="s">
        <v>86</v>
      </c>
      <c r="D6" s="122" t="s">
        <v>85</v>
      </c>
      <c r="E6" s="123"/>
      <c r="F6" s="124"/>
    </row>
    <row r="7" spans="2:6" ht="20" customHeight="1" x14ac:dyDescent="0.2">
      <c r="B7" s="56" t="s">
        <v>2</v>
      </c>
      <c r="C7" s="65">
        <v>0.12</v>
      </c>
      <c r="D7" s="82" t="s">
        <v>100</v>
      </c>
      <c r="E7" s="82"/>
      <c r="F7" s="83"/>
    </row>
    <row r="8" spans="2:6" ht="20" customHeight="1" x14ac:dyDescent="0.2">
      <c r="B8" s="56" t="s">
        <v>3</v>
      </c>
      <c r="C8" s="65">
        <v>0.25</v>
      </c>
      <c r="D8" s="82" t="s">
        <v>101</v>
      </c>
      <c r="E8" s="82"/>
      <c r="F8" s="83"/>
    </row>
    <row r="9" spans="2:6" ht="20" customHeight="1" x14ac:dyDescent="0.2">
      <c r="B9" s="56" t="s">
        <v>4</v>
      </c>
      <c r="C9" s="65">
        <v>0.03</v>
      </c>
      <c r="D9" s="82" t="s">
        <v>102</v>
      </c>
      <c r="E9" s="82"/>
      <c r="F9" s="83"/>
    </row>
    <row r="10" spans="2:6" ht="20" customHeight="1" x14ac:dyDescent="0.2">
      <c r="B10" s="56" t="s">
        <v>5</v>
      </c>
      <c r="C10" s="65">
        <v>0.03</v>
      </c>
      <c r="D10" s="82" t="s">
        <v>103</v>
      </c>
      <c r="E10" s="82"/>
      <c r="F10" s="83"/>
    </row>
    <row r="11" spans="2:6" ht="20" customHeight="1" x14ac:dyDescent="0.2">
      <c r="B11" s="56" t="s">
        <v>6</v>
      </c>
      <c r="C11" s="65">
        <v>0.03</v>
      </c>
      <c r="D11" s="82" t="s">
        <v>178</v>
      </c>
      <c r="E11" s="82"/>
      <c r="F11" s="83"/>
    </row>
    <row r="12" spans="2:6" ht="20" customHeight="1" thickBot="1" x14ac:dyDescent="0.25">
      <c r="B12" s="61" t="s">
        <v>7</v>
      </c>
      <c r="C12" s="66">
        <v>0.04</v>
      </c>
      <c r="D12" s="84" t="s">
        <v>104</v>
      </c>
      <c r="E12" s="84"/>
      <c r="F12" s="85"/>
    </row>
    <row r="13" spans="2:6" ht="19" thickBot="1" x14ac:dyDescent="0.25"/>
    <row r="14" spans="2:6" ht="25" customHeight="1" x14ac:dyDescent="0.2">
      <c r="B14" s="125" t="s">
        <v>8</v>
      </c>
      <c r="C14" s="126" t="s">
        <v>86</v>
      </c>
      <c r="D14" s="126" t="s">
        <v>85</v>
      </c>
      <c r="E14" s="127"/>
      <c r="F14" s="128"/>
    </row>
    <row r="15" spans="2:6" ht="20" customHeight="1" x14ac:dyDescent="0.2">
      <c r="B15" s="56" t="s">
        <v>9</v>
      </c>
      <c r="C15" s="67">
        <v>34000</v>
      </c>
      <c r="D15" s="82"/>
      <c r="E15" s="82"/>
      <c r="F15" s="83"/>
    </row>
    <row r="16" spans="2:6" ht="20" customHeight="1" x14ac:dyDescent="0.2">
      <c r="B16" s="56" t="s">
        <v>10</v>
      </c>
      <c r="C16" s="64">
        <v>4</v>
      </c>
      <c r="D16" s="82"/>
      <c r="E16" s="82"/>
      <c r="F16" s="83"/>
    </row>
    <row r="17" spans="2:6" ht="20" customHeight="1" x14ac:dyDescent="0.2">
      <c r="B17" s="56" t="s">
        <v>11</v>
      </c>
      <c r="C17" s="64">
        <v>3</v>
      </c>
      <c r="D17" s="82"/>
      <c r="E17" s="82"/>
      <c r="F17" s="83"/>
    </row>
    <row r="18" spans="2:6" ht="20" customHeight="1" x14ac:dyDescent="0.2">
      <c r="B18" s="56" t="s">
        <v>12</v>
      </c>
      <c r="C18" s="64">
        <v>240</v>
      </c>
      <c r="D18" s="82"/>
      <c r="E18" s="82"/>
      <c r="F18" s="83"/>
    </row>
    <row r="19" spans="2:6" ht="20" customHeight="1" x14ac:dyDescent="0.2">
      <c r="B19" s="56" t="s">
        <v>13</v>
      </c>
      <c r="C19" s="64">
        <v>7</v>
      </c>
      <c r="D19" s="82"/>
      <c r="E19" s="82"/>
      <c r="F19" s="83"/>
    </row>
    <row r="20" spans="2:6" ht="20" customHeight="1" x14ac:dyDescent="0.2">
      <c r="B20" s="56" t="s">
        <v>14</v>
      </c>
      <c r="C20" s="64">
        <v>4</v>
      </c>
      <c r="D20" s="82"/>
      <c r="E20" s="82"/>
      <c r="F20" s="83"/>
    </row>
    <row r="21" spans="2:6" ht="20" customHeight="1" x14ac:dyDescent="0.2">
      <c r="B21" s="56" t="s">
        <v>15</v>
      </c>
      <c r="C21" s="65">
        <v>0.85</v>
      </c>
      <c r="D21" s="82" t="s">
        <v>179</v>
      </c>
      <c r="E21" s="82"/>
      <c r="F21" s="83"/>
    </row>
    <row r="22" spans="2:6" ht="20" customHeight="1" x14ac:dyDescent="0.2">
      <c r="B22" s="56" t="s">
        <v>16</v>
      </c>
      <c r="C22" s="65">
        <v>0.85</v>
      </c>
      <c r="D22" s="82"/>
      <c r="E22" s="82"/>
      <c r="F22" s="83"/>
    </row>
    <row r="23" spans="2:6" ht="20" customHeight="1" thickBot="1" x14ac:dyDescent="0.25">
      <c r="B23" s="61" t="s">
        <v>17</v>
      </c>
      <c r="C23" s="68">
        <v>25</v>
      </c>
      <c r="D23" s="84"/>
      <c r="E23" s="84"/>
      <c r="F23" s="85"/>
    </row>
    <row r="24" spans="2:6" ht="19" thickBot="1" x14ac:dyDescent="0.25"/>
    <row r="25" spans="2:6" ht="26" customHeight="1" x14ac:dyDescent="0.2">
      <c r="B25" s="125" t="s">
        <v>18</v>
      </c>
      <c r="C25" s="126" t="s">
        <v>86</v>
      </c>
      <c r="D25" s="126" t="s">
        <v>85</v>
      </c>
      <c r="E25" s="127"/>
      <c r="F25" s="128"/>
    </row>
    <row r="26" spans="2:6" ht="20" customHeight="1" x14ac:dyDescent="0.2">
      <c r="B26" s="56" t="s">
        <v>19</v>
      </c>
      <c r="C26" s="104">
        <v>600</v>
      </c>
      <c r="D26" s="82"/>
      <c r="E26" s="82"/>
      <c r="F26" s="83"/>
    </row>
    <row r="27" spans="2:6" ht="20" customHeight="1" x14ac:dyDescent="0.2">
      <c r="B27" s="56" t="s">
        <v>20</v>
      </c>
      <c r="C27" s="65">
        <v>0.15</v>
      </c>
      <c r="D27" s="82" t="s">
        <v>105</v>
      </c>
      <c r="E27" s="82"/>
      <c r="F27" s="83"/>
    </row>
    <row r="28" spans="2:6" ht="20" customHeight="1" x14ac:dyDescent="0.2">
      <c r="B28" s="56" t="s">
        <v>180</v>
      </c>
      <c r="C28" s="65">
        <v>0.15</v>
      </c>
      <c r="D28" s="82" t="s">
        <v>181</v>
      </c>
      <c r="E28" s="82"/>
      <c r="F28" s="83"/>
    </row>
    <row r="29" spans="2:6" ht="20" customHeight="1" x14ac:dyDescent="0.2">
      <c r="B29" s="56" t="s">
        <v>21</v>
      </c>
      <c r="C29" s="64">
        <v>2</v>
      </c>
      <c r="D29" s="82" t="s">
        <v>182</v>
      </c>
      <c r="E29" s="82"/>
      <c r="F29" s="83"/>
    </row>
    <row r="30" spans="2:6" ht="20" customHeight="1" x14ac:dyDescent="0.2">
      <c r="B30" s="56" t="s">
        <v>22</v>
      </c>
      <c r="C30" s="104">
        <v>1450000</v>
      </c>
      <c r="D30" s="82" t="s">
        <v>106</v>
      </c>
      <c r="E30" s="82"/>
      <c r="F30" s="83"/>
    </row>
    <row r="31" spans="2:6" ht="20" customHeight="1" x14ac:dyDescent="0.2">
      <c r="B31" s="56" t="s">
        <v>23</v>
      </c>
      <c r="C31" s="104">
        <v>150000</v>
      </c>
      <c r="D31" s="82" t="s">
        <v>107</v>
      </c>
      <c r="E31" s="82"/>
      <c r="F31" s="83"/>
    </row>
    <row r="32" spans="2:6" ht="20" customHeight="1" x14ac:dyDescent="0.2">
      <c r="B32" s="56" t="s">
        <v>24</v>
      </c>
      <c r="C32" s="104">
        <v>4450000</v>
      </c>
      <c r="D32" s="82" t="s">
        <v>108</v>
      </c>
      <c r="E32" s="82"/>
      <c r="F32" s="83"/>
    </row>
    <row r="33" spans="2:6" ht="20" customHeight="1" x14ac:dyDescent="0.2">
      <c r="B33" s="56" t="s">
        <v>25</v>
      </c>
      <c r="C33" s="104">
        <v>385000</v>
      </c>
      <c r="D33" s="82" t="s">
        <v>109</v>
      </c>
      <c r="E33" s="82"/>
      <c r="F33" s="83"/>
    </row>
    <row r="34" spans="2:6" ht="20" customHeight="1" thickBot="1" x14ac:dyDescent="0.25">
      <c r="B34" s="61" t="s">
        <v>26</v>
      </c>
      <c r="C34" s="66">
        <v>0.02</v>
      </c>
      <c r="D34" s="84" t="s">
        <v>110</v>
      </c>
      <c r="E34" s="84"/>
      <c r="F34" s="85"/>
    </row>
    <row r="35" spans="2:6" ht="19" thickBot="1" x14ac:dyDescent="0.25">
      <c r="C35" s="70"/>
    </row>
    <row r="36" spans="2:6" ht="27" customHeight="1" x14ac:dyDescent="0.2">
      <c r="B36" s="125" t="s">
        <v>114</v>
      </c>
      <c r="C36" s="129"/>
      <c r="D36" s="130"/>
      <c r="E36" s="130"/>
      <c r="F36" s="131"/>
    </row>
    <row r="37" spans="2:6" ht="20" customHeight="1" x14ac:dyDescent="0.2">
      <c r="B37" s="56" t="s">
        <v>115</v>
      </c>
      <c r="C37" s="69">
        <v>1500</v>
      </c>
      <c r="D37" s="82"/>
      <c r="E37" s="82"/>
      <c r="F37" s="83"/>
    </row>
    <row r="38" spans="2:6" ht="20" customHeight="1" thickBot="1" x14ac:dyDescent="0.25">
      <c r="B38" s="61" t="s">
        <v>116</v>
      </c>
      <c r="C38" s="101">
        <v>300000</v>
      </c>
      <c r="D38" s="84"/>
      <c r="E38" s="84"/>
      <c r="F38" s="85"/>
    </row>
    <row r="39" spans="2:6" ht="19" thickBot="1" x14ac:dyDescent="0.25"/>
    <row r="40" spans="2:6" ht="28" customHeight="1" x14ac:dyDescent="0.2">
      <c r="B40" s="125" t="s">
        <v>188</v>
      </c>
      <c r="C40" s="130"/>
      <c r="D40" s="130"/>
      <c r="E40" s="130"/>
      <c r="F40" s="131"/>
    </row>
    <row r="41" spans="2:6" x14ac:dyDescent="0.2">
      <c r="B41" s="38" t="s">
        <v>35</v>
      </c>
      <c r="C41" s="71" t="s">
        <v>36</v>
      </c>
      <c r="D41" s="71" t="s">
        <v>189</v>
      </c>
      <c r="E41" s="71" t="s">
        <v>190</v>
      </c>
      <c r="F41" s="72" t="s">
        <v>37</v>
      </c>
    </row>
    <row r="42" spans="2:6" ht="20" customHeight="1" x14ac:dyDescent="0.2">
      <c r="B42" s="56" t="s">
        <v>150</v>
      </c>
      <c r="C42" s="64">
        <v>30</v>
      </c>
      <c r="D42" s="69">
        <v>90000</v>
      </c>
      <c r="E42" s="65">
        <v>0.28000000000000003</v>
      </c>
      <c r="F42" s="40">
        <f>(D42)*(1+E42)</f>
        <v>115200</v>
      </c>
    </row>
    <row r="43" spans="2:6" ht="20" customHeight="1" x14ac:dyDescent="0.2">
      <c r="B43" s="56" t="s">
        <v>27</v>
      </c>
      <c r="C43" s="64">
        <v>18</v>
      </c>
      <c r="D43" s="67">
        <v>65000</v>
      </c>
      <c r="E43" s="65">
        <v>0.28000000000000003</v>
      </c>
      <c r="F43" s="24">
        <f t="shared" ref="F43:F51" si="0">(D43)*(1+E43)</f>
        <v>83200</v>
      </c>
    </row>
    <row r="44" spans="2:6" ht="20" customHeight="1" x14ac:dyDescent="0.2">
      <c r="B44" s="56" t="s">
        <v>28</v>
      </c>
      <c r="C44" s="64">
        <v>8</v>
      </c>
      <c r="D44" s="67">
        <v>51000</v>
      </c>
      <c r="E44" s="65">
        <v>0.28000000000000003</v>
      </c>
      <c r="F44" s="24">
        <f t="shared" si="0"/>
        <v>65280</v>
      </c>
    </row>
    <row r="45" spans="2:6" ht="20" customHeight="1" x14ac:dyDescent="0.2">
      <c r="B45" s="56" t="s">
        <v>29</v>
      </c>
      <c r="C45" s="64">
        <v>4</v>
      </c>
      <c r="D45" s="67">
        <v>78000</v>
      </c>
      <c r="E45" s="65">
        <v>0.28000000000000003</v>
      </c>
      <c r="F45" s="24">
        <f t="shared" si="0"/>
        <v>99840</v>
      </c>
    </row>
    <row r="46" spans="2:6" ht="20" customHeight="1" x14ac:dyDescent="0.2">
      <c r="B46" s="56" t="s">
        <v>30</v>
      </c>
      <c r="C46" s="64">
        <v>9</v>
      </c>
      <c r="D46" s="67">
        <v>55000</v>
      </c>
      <c r="E46" s="65">
        <v>0.28000000000000003</v>
      </c>
      <c r="F46" s="24">
        <f t="shared" si="0"/>
        <v>70400</v>
      </c>
    </row>
    <row r="47" spans="2:6" ht="20" customHeight="1" x14ac:dyDescent="0.2">
      <c r="B47" s="56" t="s">
        <v>31</v>
      </c>
      <c r="C47" s="64">
        <v>4</v>
      </c>
      <c r="D47" s="67">
        <v>62000</v>
      </c>
      <c r="E47" s="65">
        <v>0.28000000000000003</v>
      </c>
      <c r="F47" s="24">
        <f t="shared" si="0"/>
        <v>79360</v>
      </c>
    </row>
    <row r="48" spans="2:6" ht="20" customHeight="1" x14ac:dyDescent="0.2">
      <c r="B48" s="56" t="s">
        <v>32</v>
      </c>
      <c r="C48" s="64">
        <v>2</v>
      </c>
      <c r="D48" s="67">
        <v>95000</v>
      </c>
      <c r="E48" s="65">
        <v>0.28000000000000003</v>
      </c>
      <c r="F48" s="24">
        <f t="shared" si="0"/>
        <v>121600</v>
      </c>
    </row>
    <row r="49" spans="2:6" ht="20" customHeight="1" x14ac:dyDescent="0.2">
      <c r="B49" s="56" t="s">
        <v>33</v>
      </c>
      <c r="C49" s="64">
        <v>1</v>
      </c>
      <c r="D49" s="67">
        <v>130000</v>
      </c>
      <c r="E49" s="65">
        <v>0.28000000000000003</v>
      </c>
      <c r="F49" s="24">
        <f t="shared" si="0"/>
        <v>166400</v>
      </c>
    </row>
    <row r="50" spans="2:6" ht="20" customHeight="1" x14ac:dyDescent="0.2">
      <c r="B50" s="56" t="s">
        <v>38</v>
      </c>
      <c r="C50" s="64">
        <v>2</v>
      </c>
      <c r="D50" s="67">
        <v>85000</v>
      </c>
      <c r="E50" s="65">
        <v>0.28000000000000003</v>
      </c>
      <c r="F50" s="24">
        <f t="shared" si="0"/>
        <v>108800</v>
      </c>
    </row>
    <row r="51" spans="2:6" ht="20" customHeight="1" x14ac:dyDescent="0.2">
      <c r="B51" s="56" t="s">
        <v>34</v>
      </c>
      <c r="C51" s="64">
        <v>4</v>
      </c>
      <c r="D51" s="67">
        <v>52000</v>
      </c>
      <c r="E51" s="65">
        <v>0.28000000000000003</v>
      </c>
      <c r="F51" s="24">
        <f t="shared" si="0"/>
        <v>66560</v>
      </c>
    </row>
    <row r="52" spans="2:6" ht="20" customHeight="1" thickBot="1" x14ac:dyDescent="0.25">
      <c r="B52" s="86" t="s">
        <v>111</v>
      </c>
      <c r="C52" s="48">
        <f>SUMPRODUCT(C42:C51,F42:F51)</f>
        <v>7719680</v>
      </c>
      <c r="D52" s="84"/>
      <c r="E52" s="87"/>
      <c r="F52" s="85"/>
    </row>
    <row r="53" spans="2:6" ht="19" thickBot="1" x14ac:dyDescent="0.25"/>
    <row r="54" spans="2:6" ht="35" customHeight="1" thickBot="1" x14ac:dyDescent="0.25">
      <c r="B54" s="192" t="s">
        <v>39</v>
      </c>
      <c r="C54" s="193"/>
      <c r="D54" s="193"/>
      <c r="E54" s="193"/>
      <c r="F54" s="194"/>
    </row>
    <row r="55" spans="2:6" ht="19" thickBot="1" x14ac:dyDescent="0.25">
      <c r="B55" s="88"/>
      <c r="C55" s="88"/>
      <c r="D55" s="88"/>
      <c r="E55" s="88"/>
      <c r="F55" s="88"/>
    </row>
    <row r="56" spans="2:6" ht="19" thickBot="1" x14ac:dyDescent="0.25">
      <c r="B56" s="73" t="s">
        <v>44</v>
      </c>
      <c r="C56" s="74" t="s">
        <v>45</v>
      </c>
      <c r="D56" s="74" t="s">
        <v>46</v>
      </c>
      <c r="E56" s="74"/>
      <c r="F56" s="75"/>
    </row>
    <row r="57" spans="2:6" ht="20" customHeight="1" x14ac:dyDescent="0.2">
      <c r="B57" s="56" t="s">
        <v>40</v>
      </c>
      <c r="C57" s="65">
        <v>0.3</v>
      </c>
      <c r="D57" s="64">
        <v>1.6</v>
      </c>
      <c r="E57" s="27"/>
      <c r="F57" s="28"/>
    </row>
    <row r="58" spans="2:6" ht="20" customHeight="1" x14ac:dyDescent="0.2">
      <c r="B58" s="56" t="s">
        <v>41</v>
      </c>
      <c r="C58" s="65">
        <v>0.45</v>
      </c>
      <c r="D58" s="64">
        <v>1</v>
      </c>
      <c r="E58" s="27"/>
      <c r="F58" s="28"/>
    </row>
    <row r="59" spans="2:6" ht="20" customHeight="1" x14ac:dyDescent="0.2">
      <c r="B59" s="56" t="s">
        <v>42</v>
      </c>
      <c r="C59" s="65">
        <v>0.2</v>
      </c>
      <c r="D59" s="64">
        <v>0.7</v>
      </c>
      <c r="E59" s="27"/>
      <c r="F59" s="28"/>
    </row>
    <row r="60" spans="2:6" ht="20" customHeight="1" x14ac:dyDescent="0.2">
      <c r="B60" s="56" t="s">
        <v>43</v>
      </c>
      <c r="C60" s="65">
        <v>0.05</v>
      </c>
      <c r="D60" s="64">
        <v>0.6</v>
      </c>
      <c r="E60" s="27"/>
      <c r="F60" s="28"/>
    </row>
    <row r="61" spans="2:6" ht="20" customHeight="1" thickBot="1" x14ac:dyDescent="0.25">
      <c r="B61" s="86" t="s">
        <v>50</v>
      </c>
      <c r="C61" s="79">
        <f>SUM(C57:C60)</f>
        <v>1</v>
      </c>
      <c r="D61" s="53"/>
      <c r="E61" s="53"/>
      <c r="F61" s="80"/>
    </row>
    <row r="62" spans="2:6" ht="19" thickBot="1" x14ac:dyDescent="0.25"/>
    <row r="63" spans="2:6" ht="44" customHeight="1" thickBot="1" x14ac:dyDescent="0.25">
      <c r="B63" s="76" t="s">
        <v>185</v>
      </c>
      <c r="C63" s="77" t="s">
        <v>49</v>
      </c>
      <c r="D63" s="77" t="s">
        <v>184</v>
      </c>
      <c r="E63" s="77" t="s">
        <v>186</v>
      </c>
      <c r="F63" s="78" t="s">
        <v>187</v>
      </c>
    </row>
    <row r="64" spans="2:6" ht="20" customHeight="1" x14ac:dyDescent="0.2">
      <c r="B64" s="56" t="s">
        <v>173</v>
      </c>
      <c r="C64" s="65">
        <v>0.25</v>
      </c>
      <c r="D64" s="105">
        <v>15000</v>
      </c>
      <c r="E64" s="105">
        <v>9000</v>
      </c>
      <c r="F64" s="102">
        <v>0.1</v>
      </c>
    </row>
    <row r="65" spans="2:6" ht="20" customHeight="1" x14ac:dyDescent="0.2">
      <c r="B65" s="56" t="s">
        <v>174</v>
      </c>
      <c r="C65" s="65">
        <v>0.2</v>
      </c>
      <c r="D65" s="89">
        <v>7000</v>
      </c>
      <c r="E65" s="89">
        <v>2500</v>
      </c>
      <c r="F65" s="102">
        <v>0.15</v>
      </c>
    </row>
    <row r="66" spans="2:6" ht="20" customHeight="1" x14ac:dyDescent="0.2">
      <c r="B66" s="56" t="s">
        <v>175</v>
      </c>
      <c r="C66" s="65">
        <v>0.15</v>
      </c>
      <c r="D66" s="89">
        <v>13000</v>
      </c>
      <c r="E66" s="89">
        <v>5500</v>
      </c>
      <c r="F66" s="102">
        <v>0.85</v>
      </c>
    </row>
    <row r="67" spans="2:6" ht="20" customHeight="1" x14ac:dyDescent="0.2">
      <c r="B67" s="56" t="s">
        <v>176</v>
      </c>
      <c r="C67" s="65">
        <v>0.1</v>
      </c>
      <c r="D67" s="89">
        <v>9500</v>
      </c>
      <c r="E67" s="89">
        <v>4300</v>
      </c>
      <c r="F67" s="102">
        <v>0.7</v>
      </c>
    </row>
    <row r="68" spans="2:6" ht="20" customHeight="1" x14ac:dyDescent="0.2">
      <c r="B68" s="56" t="s">
        <v>47</v>
      </c>
      <c r="C68" s="65">
        <v>0.05</v>
      </c>
      <c r="D68" s="89">
        <v>3900</v>
      </c>
      <c r="E68" s="89">
        <v>1450</v>
      </c>
      <c r="F68" s="102">
        <v>0</v>
      </c>
    </row>
    <row r="69" spans="2:6" ht="20" customHeight="1" x14ac:dyDescent="0.2">
      <c r="B69" s="56" t="s">
        <v>177</v>
      </c>
      <c r="C69" s="65">
        <v>0.05</v>
      </c>
      <c r="D69" s="89">
        <v>2000</v>
      </c>
      <c r="E69" s="89">
        <v>850</v>
      </c>
      <c r="F69" s="102">
        <v>0</v>
      </c>
    </row>
    <row r="70" spans="2:6" ht="20" customHeight="1" x14ac:dyDescent="0.2">
      <c r="B70" s="56" t="s">
        <v>48</v>
      </c>
      <c r="C70" s="65">
        <v>0.2</v>
      </c>
      <c r="D70" s="89">
        <v>1350</v>
      </c>
      <c r="E70" s="89">
        <v>610</v>
      </c>
      <c r="F70" s="102">
        <v>0</v>
      </c>
    </row>
    <row r="71" spans="2:6" ht="20" customHeight="1" thickBot="1" x14ac:dyDescent="0.25">
      <c r="B71" s="86" t="s">
        <v>50</v>
      </c>
      <c r="C71" s="103">
        <f>SUM(C64:C70)</f>
        <v>1</v>
      </c>
      <c r="D71" s="84"/>
      <c r="E71" s="84"/>
      <c r="F71" s="85"/>
    </row>
  </sheetData>
  <mergeCells count="2">
    <mergeCell ref="B2:F3"/>
    <mergeCell ref="B54:F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42E6-9320-014B-BF07-A1341E32B43D}">
  <dimension ref="B1:I22"/>
  <sheetViews>
    <sheetView showGridLines="0" zoomScale="110" zoomScaleNormal="110" workbookViewId="0">
      <selection activeCell="D28" sqref="D28"/>
    </sheetView>
  </sheetViews>
  <sheetFormatPr baseColWidth="10" defaultRowHeight="16" x14ac:dyDescent="0.2"/>
  <cols>
    <col min="1" max="1" width="4.5" style="17" customWidth="1"/>
    <col min="2" max="2" width="26" style="17" customWidth="1"/>
    <col min="3" max="3" width="16.5" style="17" customWidth="1"/>
    <col min="4" max="4" width="19.83203125" style="17" customWidth="1"/>
    <col min="5" max="5" width="15.33203125" style="17" customWidth="1"/>
    <col min="6" max="6" width="16.33203125" style="17" customWidth="1"/>
    <col min="7" max="7" width="13.83203125" style="17" customWidth="1"/>
    <col min="8" max="8" width="14.1640625" style="17" customWidth="1"/>
    <col min="9" max="16384" width="10.83203125" style="17"/>
  </cols>
  <sheetData>
    <row r="1" spans="2:9" ht="17" thickBot="1" x14ac:dyDescent="0.25"/>
    <row r="2" spans="2:9" x14ac:dyDescent="0.2">
      <c r="B2" s="168" t="s">
        <v>90</v>
      </c>
      <c r="C2" s="169"/>
      <c r="D2" s="169"/>
      <c r="E2" s="169"/>
      <c r="F2" s="169"/>
      <c r="G2" s="169"/>
      <c r="H2" s="170"/>
    </row>
    <row r="3" spans="2:9" ht="17" thickBot="1" x14ac:dyDescent="0.25">
      <c r="B3" s="171"/>
      <c r="C3" s="172"/>
      <c r="D3" s="172"/>
      <c r="E3" s="172"/>
      <c r="F3" s="172"/>
      <c r="G3" s="172"/>
      <c r="H3" s="173"/>
    </row>
    <row r="4" spans="2:9" ht="17" thickBot="1" x14ac:dyDescent="0.25"/>
    <row r="5" spans="2:9" ht="25" customHeight="1" x14ac:dyDescent="0.2">
      <c r="B5" s="125" t="s">
        <v>1</v>
      </c>
      <c r="C5" s="126" t="s">
        <v>51</v>
      </c>
      <c r="D5" s="126" t="s">
        <v>52</v>
      </c>
      <c r="E5" s="126" t="s">
        <v>53</v>
      </c>
      <c r="F5" s="126" t="s">
        <v>54</v>
      </c>
      <c r="G5" s="126" t="s">
        <v>55</v>
      </c>
      <c r="H5" s="133" t="s">
        <v>56</v>
      </c>
    </row>
    <row r="6" spans="2:9" ht="20" customHeight="1" x14ac:dyDescent="0.2">
      <c r="B6" s="38" t="s">
        <v>57</v>
      </c>
      <c r="C6" s="57">
        <v>0.28000000000000003</v>
      </c>
      <c r="D6" s="57">
        <v>0.47</v>
      </c>
      <c r="E6" s="57">
        <v>0.2</v>
      </c>
      <c r="F6" s="57">
        <v>0.05</v>
      </c>
      <c r="G6" s="57">
        <v>0.4</v>
      </c>
      <c r="H6" s="58">
        <v>0.7</v>
      </c>
      <c r="I6" s="90"/>
    </row>
    <row r="7" spans="2:9" ht="20" customHeight="1" x14ac:dyDescent="0.2">
      <c r="B7" s="38" t="s">
        <v>58</v>
      </c>
      <c r="C7" s="57">
        <v>0.45</v>
      </c>
      <c r="D7" s="57">
        <v>0.35</v>
      </c>
      <c r="E7" s="57">
        <v>0.15</v>
      </c>
      <c r="F7" s="57">
        <v>0.05</v>
      </c>
      <c r="G7" s="57">
        <v>0.4</v>
      </c>
      <c r="H7" s="58">
        <v>0.7</v>
      </c>
      <c r="I7" s="90"/>
    </row>
    <row r="8" spans="2:9" ht="20" customHeight="1" x14ac:dyDescent="0.2">
      <c r="B8" s="38" t="s">
        <v>59</v>
      </c>
      <c r="C8" s="57">
        <v>0.25</v>
      </c>
      <c r="D8" s="57">
        <v>0.55000000000000004</v>
      </c>
      <c r="E8" s="57">
        <v>0.15</v>
      </c>
      <c r="F8" s="57">
        <v>0.05</v>
      </c>
      <c r="G8" s="57">
        <v>0.4</v>
      </c>
      <c r="H8" s="58">
        <v>0.7</v>
      </c>
      <c r="I8" s="90"/>
    </row>
    <row r="9" spans="2:9" ht="20" customHeight="1" x14ac:dyDescent="0.2">
      <c r="B9" s="38" t="s">
        <v>60</v>
      </c>
      <c r="C9" s="57">
        <v>0.28000000000000003</v>
      </c>
      <c r="D9" s="57">
        <v>0.47</v>
      </c>
      <c r="E9" s="57">
        <v>0.2</v>
      </c>
      <c r="F9" s="57">
        <v>0.05</v>
      </c>
      <c r="G9" s="57">
        <v>0.5</v>
      </c>
      <c r="H9" s="58">
        <v>0.8</v>
      </c>
      <c r="I9" s="90"/>
    </row>
    <row r="10" spans="2:9" ht="20" customHeight="1" thickBot="1" x14ac:dyDescent="0.25">
      <c r="B10" s="152" t="s">
        <v>61</v>
      </c>
      <c r="C10" s="62">
        <v>0.28000000000000003</v>
      </c>
      <c r="D10" s="62">
        <v>0.47</v>
      </c>
      <c r="E10" s="62">
        <v>0.2</v>
      </c>
      <c r="F10" s="62">
        <v>0.05</v>
      </c>
      <c r="G10" s="62">
        <v>0.3</v>
      </c>
      <c r="H10" s="63">
        <v>0.55000000000000004</v>
      </c>
      <c r="I10" s="90"/>
    </row>
    <row r="15" spans="2:9" x14ac:dyDescent="0.2">
      <c r="F15" s="90"/>
    </row>
    <row r="18" spans="4:7" x14ac:dyDescent="0.2">
      <c r="G18" s="90"/>
    </row>
    <row r="19" spans="4:7" x14ac:dyDescent="0.2">
      <c r="D19" s="91"/>
    </row>
    <row r="20" spans="4:7" x14ac:dyDescent="0.2">
      <c r="D20" s="91"/>
    </row>
    <row r="21" spans="4:7" x14ac:dyDescent="0.2">
      <c r="D21" s="91"/>
    </row>
    <row r="22" spans="4:7" x14ac:dyDescent="0.2">
      <c r="D22" s="91"/>
    </row>
  </sheetData>
  <mergeCells count="1">
    <mergeCell ref="B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2EB8-373F-4F49-AF01-B8EADFCAFCAB}">
  <dimension ref="B1:M26"/>
  <sheetViews>
    <sheetView showGridLines="0" zoomScaleNormal="100" workbookViewId="0">
      <selection activeCell="I47" sqref="I47"/>
    </sheetView>
  </sheetViews>
  <sheetFormatPr baseColWidth="10" defaultRowHeight="16" x14ac:dyDescent="0.2"/>
  <cols>
    <col min="1" max="1" width="4.33203125" style="97" customWidth="1"/>
    <col min="2" max="2" width="29.83203125" style="97" bestFit="1" customWidth="1"/>
    <col min="3" max="3" width="16.5" style="97" bestFit="1" customWidth="1"/>
    <col min="4" max="13" width="14.83203125" style="97" bestFit="1" customWidth="1"/>
    <col min="14" max="16384" width="10.83203125" style="97"/>
  </cols>
  <sheetData>
    <row r="1" spans="2:13" ht="17" thickBot="1" x14ac:dyDescent="0.25"/>
    <row r="2" spans="2:13" x14ac:dyDescent="0.2">
      <c r="B2" s="168" t="s">
        <v>165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28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5" spans="2:13" ht="17" thickBot="1" x14ac:dyDescent="0.25"/>
    <row r="6" spans="2:13" ht="24" customHeight="1" x14ac:dyDescent="0.2">
      <c r="B6" s="125" t="s">
        <v>62</v>
      </c>
      <c r="C6" s="126" t="s">
        <v>63</v>
      </c>
      <c r="D6" s="126" t="s">
        <v>64</v>
      </c>
      <c r="E6" s="126" t="s">
        <v>65</v>
      </c>
      <c r="F6" s="126" t="s">
        <v>66</v>
      </c>
      <c r="G6" s="126" t="s">
        <v>67</v>
      </c>
      <c r="H6" s="126" t="s">
        <v>68</v>
      </c>
      <c r="I6" s="126" t="s">
        <v>69</v>
      </c>
      <c r="J6" s="126" t="s">
        <v>70</v>
      </c>
      <c r="K6" s="126" t="s">
        <v>71</v>
      </c>
      <c r="L6" s="126" t="s">
        <v>72</v>
      </c>
      <c r="M6" s="133" t="s">
        <v>73</v>
      </c>
    </row>
    <row r="7" spans="2:13" ht="20" customHeight="1" x14ac:dyDescent="0.2">
      <c r="B7" s="56" t="s">
        <v>74</v>
      </c>
      <c r="C7" s="23">
        <f>Input!C15*Input!C26</f>
        <v>20400000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4">
        <v>0</v>
      </c>
    </row>
    <row r="8" spans="2:13" ht="20" customHeight="1" x14ac:dyDescent="0.2">
      <c r="B8" s="56" t="s">
        <v>138</v>
      </c>
      <c r="C8" s="23">
        <f>Input!C15*Input!C26*Input!C27</f>
        <v>3060000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4">
        <v>0</v>
      </c>
    </row>
    <row r="9" spans="2:13" ht="20" customHeight="1" x14ac:dyDescent="0.2">
      <c r="B9" s="56" t="s">
        <v>139</v>
      </c>
      <c r="C9" s="23">
        <f>Input!C30*Input!C29</f>
        <v>2900000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4">
        <v>0</v>
      </c>
    </row>
    <row r="10" spans="2:13" ht="20" customHeight="1" x14ac:dyDescent="0.2">
      <c r="B10" s="56" t="s">
        <v>112</v>
      </c>
      <c r="C10" s="23">
        <f>Input!C32</f>
        <v>4450000</v>
      </c>
      <c r="D10" s="23"/>
      <c r="E10" s="23"/>
      <c r="F10" s="23"/>
      <c r="G10" s="23"/>
      <c r="H10" s="23"/>
      <c r="I10" s="23"/>
      <c r="J10" s="23"/>
      <c r="K10" s="23"/>
      <c r="L10" s="23"/>
      <c r="M10" s="24"/>
    </row>
    <row r="11" spans="2:13" ht="20" customHeight="1" x14ac:dyDescent="0.2">
      <c r="B11" s="56" t="s">
        <v>140</v>
      </c>
      <c r="C11" s="23">
        <f>Input!C33</f>
        <v>385000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4">
        <v>0</v>
      </c>
    </row>
    <row r="12" spans="2:13" ht="20" customHeight="1" x14ac:dyDescent="0.2">
      <c r="B12" s="56" t="s">
        <v>141</v>
      </c>
      <c r="C12" s="23">
        <f>SUM(C7:C11)</f>
        <v>31195000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4">
        <v>0</v>
      </c>
    </row>
    <row r="13" spans="2:13" ht="20" customHeight="1" x14ac:dyDescent="0.2">
      <c r="B13" s="56" t="s">
        <v>142</v>
      </c>
      <c r="C13" s="23">
        <f>C12*Input!C28</f>
        <v>4679250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4">
        <v>0</v>
      </c>
    </row>
    <row r="14" spans="2:13" ht="20" customHeight="1" thickBot="1" x14ac:dyDescent="0.25">
      <c r="B14" s="86" t="s">
        <v>143</v>
      </c>
      <c r="C14" s="48">
        <f>C12+C13</f>
        <v>35874250</v>
      </c>
      <c r="D14" s="113">
        <v>0</v>
      </c>
      <c r="E14" s="113">
        <v>0</v>
      </c>
      <c r="F14" s="113">
        <v>0</v>
      </c>
      <c r="G14" s="113">
        <v>0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4">
        <v>0</v>
      </c>
    </row>
    <row r="15" spans="2:13" x14ac:dyDescent="0.2">
      <c r="C15" s="110"/>
    </row>
    <row r="16" spans="2:13" ht="17" thickBot="1" x14ac:dyDescent="0.25"/>
    <row r="17" spans="2:13" ht="26" customHeight="1" x14ac:dyDescent="0.2">
      <c r="B17" s="125" t="s">
        <v>144</v>
      </c>
      <c r="C17" s="126" t="s">
        <v>63</v>
      </c>
      <c r="D17" s="126" t="s">
        <v>64</v>
      </c>
      <c r="E17" s="126" t="s">
        <v>65</v>
      </c>
      <c r="F17" s="126" t="s">
        <v>66</v>
      </c>
      <c r="G17" s="126" t="s">
        <v>67</v>
      </c>
      <c r="H17" s="126" t="s">
        <v>68</v>
      </c>
      <c r="I17" s="126" t="s">
        <v>69</v>
      </c>
      <c r="J17" s="126" t="s">
        <v>70</v>
      </c>
      <c r="K17" s="126" t="s">
        <v>71</v>
      </c>
      <c r="L17" s="126" t="s">
        <v>72</v>
      </c>
      <c r="M17" s="133" t="s">
        <v>73</v>
      </c>
    </row>
    <row r="18" spans="2:13" ht="20" customHeight="1" x14ac:dyDescent="0.2">
      <c r="B18" s="111" t="s">
        <v>145</v>
      </c>
      <c r="C18" s="115">
        <v>20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6"/>
    </row>
    <row r="19" spans="2:13" ht="20" customHeight="1" x14ac:dyDescent="0.2">
      <c r="B19" s="111" t="s">
        <v>149</v>
      </c>
      <c r="C19" s="115">
        <v>10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6"/>
    </row>
    <row r="20" spans="2:13" ht="20" customHeight="1" x14ac:dyDescent="0.2">
      <c r="B20" s="56" t="s">
        <v>146</v>
      </c>
      <c r="C20" s="23">
        <v>0</v>
      </c>
      <c r="D20" s="23">
        <f>SUM($C$7:$M$7)/$C$18</f>
        <v>1020000</v>
      </c>
      <c r="E20" s="23">
        <f t="shared" ref="E20:M20" si="0">SUM($C$7:$M$7)/$C$18</f>
        <v>1020000</v>
      </c>
      <c r="F20" s="23">
        <f t="shared" si="0"/>
        <v>1020000</v>
      </c>
      <c r="G20" s="23">
        <f t="shared" si="0"/>
        <v>1020000</v>
      </c>
      <c r="H20" s="23">
        <f t="shared" si="0"/>
        <v>1020000</v>
      </c>
      <c r="I20" s="23">
        <f t="shared" si="0"/>
        <v>1020000</v>
      </c>
      <c r="J20" s="23">
        <f t="shared" si="0"/>
        <v>1020000</v>
      </c>
      <c r="K20" s="23">
        <f t="shared" si="0"/>
        <v>1020000</v>
      </c>
      <c r="L20" s="23">
        <f t="shared" si="0"/>
        <v>1020000</v>
      </c>
      <c r="M20" s="24">
        <f t="shared" si="0"/>
        <v>1020000</v>
      </c>
    </row>
    <row r="21" spans="2:13" ht="20" customHeight="1" x14ac:dyDescent="0.2">
      <c r="B21" s="56" t="s">
        <v>147</v>
      </c>
      <c r="C21" s="23">
        <v>0</v>
      </c>
      <c r="D21" s="23">
        <f>SUM($C$9:$M$11)/$C$19</f>
        <v>773500</v>
      </c>
      <c r="E21" s="23">
        <f t="shared" ref="E21:M21" si="1">SUM($C$9:$M$11)/$C$19</f>
        <v>773500</v>
      </c>
      <c r="F21" s="23">
        <f t="shared" si="1"/>
        <v>773500</v>
      </c>
      <c r="G21" s="23">
        <f t="shared" si="1"/>
        <v>773500</v>
      </c>
      <c r="H21" s="23">
        <f t="shared" si="1"/>
        <v>773500</v>
      </c>
      <c r="I21" s="23">
        <f t="shared" si="1"/>
        <v>773500</v>
      </c>
      <c r="J21" s="23">
        <f t="shared" si="1"/>
        <v>773500</v>
      </c>
      <c r="K21" s="23">
        <f t="shared" si="1"/>
        <v>773500</v>
      </c>
      <c r="L21" s="23">
        <f t="shared" si="1"/>
        <v>773500</v>
      </c>
      <c r="M21" s="24">
        <f t="shared" si="1"/>
        <v>773500</v>
      </c>
    </row>
    <row r="22" spans="2:13" ht="20" customHeight="1" thickBot="1" x14ac:dyDescent="0.25">
      <c r="B22" s="86" t="s">
        <v>148</v>
      </c>
      <c r="C22" s="47">
        <v>0</v>
      </c>
      <c r="D22" s="50">
        <f>SUM(D20:D21)</f>
        <v>1793500</v>
      </c>
      <c r="E22" s="50">
        <f t="shared" ref="E22:M22" si="2">SUM(E20:E21)</f>
        <v>1793500</v>
      </c>
      <c r="F22" s="50">
        <f t="shared" si="2"/>
        <v>1793500</v>
      </c>
      <c r="G22" s="50">
        <f t="shared" si="2"/>
        <v>1793500</v>
      </c>
      <c r="H22" s="50">
        <f t="shared" si="2"/>
        <v>1793500</v>
      </c>
      <c r="I22" s="50">
        <f t="shared" si="2"/>
        <v>1793500</v>
      </c>
      <c r="J22" s="50">
        <f t="shared" si="2"/>
        <v>1793500</v>
      </c>
      <c r="K22" s="50">
        <f t="shared" si="2"/>
        <v>1793500</v>
      </c>
      <c r="L22" s="50">
        <f t="shared" si="2"/>
        <v>1793500</v>
      </c>
      <c r="M22" s="51">
        <f t="shared" si="2"/>
        <v>1793500</v>
      </c>
    </row>
    <row r="26" spans="2:13" x14ac:dyDescent="0.2">
      <c r="C26" s="112"/>
    </row>
  </sheetData>
  <mergeCells count="1">
    <mergeCell ref="B2:M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74B2-71B0-1446-BF40-1A2C88CF0181}">
  <dimension ref="B1:M25"/>
  <sheetViews>
    <sheetView showGridLines="0" zoomScaleNormal="100" workbookViewId="0">
      <selection activeCell="B54" sqref="B54"/>
    </sheetView>
  </sheetViews>
  <sheetFormatPr baseColWidth="10" defaultRowHeight="18" x14ac:dyDescent="0.2"/>
  <cols>
    <col min="1" max="1" width="6.1640625" style="81" customWidth="1"/>
    <col min="2" max="2" width="64.83203125" style="81" bestFit="1" customWidth="1"/>
    <col min="3" max="3" width="20.5" style="81" bestFit="1" customWidth="1"/>
    <col min="4" max="11" width="12.5" style="81" bestFit="1" customWidth="1"/>
    <col min="12" max="13" width="12.6640625" style="81" bestFit="1" customWidth="1"/>
    <col min="14" max="16384" width="10.83203125" style="81"/>
  </cols>
  <sheetData>
    <row r="1" spans="2:13" ht="19" thickBot="1" x14ac:dyDescent="0.25"/>
    <row r="2" spans="2:13" x14ac:dyDescent="0.2">
      <c r="B2" s="168" t="s">
        <v>166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33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4" spans="2:13" ht="19" thickBot="1" x14ac:dyDescent="0.25"/>
    <row r="5" spans="2:13" ht="27" customHeight="1" thickBot="1" x14ac:dyDescent="0.25">
      <c r="C5" s="149" t="s">
        <v>167</v>
      </c>
      <c r="D5" s="151">
        <v>1</v>
      </c>
      <c r="E5" s="150"/>
    </row>
    <row r="6" spans="2:13" ht="19" thickBot="1" x14ac:dyDescent="0.25"/>
    <row r="7" spans="2:13" ht="25" customHeight="1" x14ac:dyDescent="0.2">
      <c r="B7" s="125" t="s">
        <v>75</v>
      </c>
      <c r="C7" s="126" t="s">
        <v>63</v>
      </c>
      <c r="D7" s="126" t="s">
        <v>64</v>
      </c>
      <c r="E7" s="126" t="s">
        <v>65</v>
      </c>
      <c r="F7" s="126" t="s">
        <v>66</v>
      </c>
      <c r="G7" s="126" t="s">
        <v>67</v>
      </c>
      <c r="H7" s="126" t="s">
        <v>68</v>
      </c>
      <c r="I7" s="126" t="s">
        <v>69</v>
      </c>
      <c r="J7" s="126" t="s">
        <v>70</v>
      </c>
      <c r="K7" s="126" t="s">
        <v>71</v>
      </c>
      <c r="L7" s="126" t="s">
        <v>72</v>
      </c>
      <c r="M7" s="133" t="s">
        <v>73</v>
      </c>
    </row>
    <row r="8" spans="2:13" ht="20" customHeight="1" x14ac:dyDescent="0.2">
      <c r="B8" s="56" t="s">
        <v>154</v>
      </c>
      <c r="C8" s="22">
        <v>0</v>
      </c>
      <c r="D8" s="23">
        <v>7500</v>
      </c>
      <c r="E8" s="23">
        <v>7500</v>
      </c>
      <c r="F8" s="23">
        <v>7500</v>
      </c>
      <c r="G8" s="23">
        <v>7500</v>
      </c>
      <c r="H8" s="23">
        <v>7500</v>
      </c>
      <c r="I8" s="23">
        <v>7500</v>
      </c>
      <c r="J8" s="23">
        <v>7500</v>
      </c>
      <c r="K8" s="23">
        <v>7500</v>
      </c>
      <c r="L8" s="23">
        <v>7500</v>
      </c>
      <c r="M8" s="24">
        <v>7500</v>
      </c>
    </row>
    <row r="9" spans="2:13" ht="20" customHeight="1" x14ac:dyDescent="0.2">
      <c r="B9" s="56" t="s">
        <v>155</v>
      </c>
      <c r="C9" s="22">
        <v>0</v>
      </c>
      <c r="D9" s="57" cm="1">
        <f t="array" ref="D9">INDEX(Scenarios!$G$6:$G$10,$D$5)</f>
        <v>0.4</v>
      </c>
      <c r="E9" s="57" cm="1">
        <f t="array" ref="E9">INDEX(Scenarios!$H$6:$H$10,$D$5)</f>
        <v>0.7</v>
      </c>
      <c r="F9" s="57">
        <v>0.87</v>
      </c>
      <c r="G9" s="57">
        <f>F9*1.03</f>
        <v>0.89610000000000001</v>
      </c>
      <c r="H9" s="57">
        <f t="shared" ref="H9:M9" si="0">G9*1.03</f>
        <v>0.922983</v>
      </c>
      <c r="I9" s="57">
        <f t="shared" si="0"/>
        <v>0.95067248999999998</v>
      </c>
      <c r="J9" s="57">
        <f t="shared" si="0"/>
        <v>0.97919266469999999</v>
      </c>
      <c r="K9" s="57">
        <f>J9*1.03</f>
        <v>1.0085684446409999</v>
      </c>
      <c r="L9" s="57">
        <f t="shared" si="0"/>
        <v>1.0388254979802301</v>
      </c>
      <c r="M9" s="58">
        <f t="shared" si="0"/>
        <v>1.0699902629196369</v>
      </c>
    </row>
    <row r="10" spans="2:13" ht="20" customHeight="1" x14ac:dyDescent="0.2">
      <c r="B10" s="56" t="s">
        <v>156</v>
      </c>
      <c r="C10" s="22">
        <v>0</v>
      </c>
      <c r="D10" s="23">
        <f>D8*D9</f>
        <v>3000</v>
      </c>
      <c r="E10" s="23">
        <f t="shared" ref="E10:M10" si="1">E8*E9</f>
        <v>5250</v>
      </c>
      <c r="F10" s="23">
        <f t="shared" si="1"/>
        <v>6525</v>
      </c>
      <c r="G10" s="23">
        <f t="shared" si="1"/>
        <v>6720.75</v>
      </c>
      <c r="H10" s="23">
        <f t="shared" si="1"/>
        <v>6922.3725000000004</v>
      </c>
      <c r="I10" s="23">
        <f t="shared" si="1"/>
        <v>7130.0436749999999</v>
      </c>
      <c r="J10" s="23">
        <f t="shared" si="1"/>
        <v>7343.9449852500002</v>
      </c>
      <c r="K10" s="23">
        <f t="shared" si="1"/>
        <v>7564.2633348074996</v>
      </c>
      <c r="L10" s="23">
        <f t="shared" si="1"/>
        <v>7791.1912348517253</v>
      </c>
      <c r="M10" s="24">
        <f t="shared" si="1"/>
        <v>8024.9269718972773</v>
      </c>
    </row>
    <row r="11" spans="2:13" ht="20" customHeight="1" x14ac:dyDescent="0.2">
      <c r="B11" s="56" t="s">
        <v>157</v>
      </c>
      <c r="C11" s="22">
        <v>0</v>
      </c>
      <c r="D11" s="23">
        <f>Input!$C$16*Input!$C$18*Input!$C$19*Input!$C$21</f>
        <v>5712</v>
      </c>
      <c r="E11" s="23">
        <f>Input!$C$16*Input!$C$18*Input!$C$19*Input!$C$21</f>
        <v>5712</v>
      </c>
      <c r="F11" s="23">
        <f>Input!$C$16*Input!$C$18*Input!$C$19*Input!$C$21</f>
        <v>5712</v>
      </c>
      <c r="G11" s="23">
        <f>Input!$C$16*Input!$C$18*Input!$C$19*Input!$C$21</f>
        <v>5712</v>
      </c>
      <c r="H11" s="23">
        <f>Input!$C$16*Input!$C$18*Input!$C$19*Input!$C$21</f>
        <v>5712</v>
      </c>
      <c r="I11" s="23">
        <f>Input!$C$16*Input!$C$18*Input!$C$19*Input!$C$21</f>
        <v>5712</v>
      </c>
      <c r="J11" s="23">
        <f>Input!$C$16*Input!$C$18*Input!$C$19*Input!$C$21</f>
        <v>5712</v>
      </c>
      <c r="K11" s="23">
        <f>Input!$C$16*Input!$C$18*Input!$C$19*Input!$C$21</f>
        <v>5712</v>
      </c>
      <c r="L11" s="23">
        <f>Input!$C$16*Input!$C$18*Input!$C$19*Input!$C$21</f>
        <v>5712</v>
      </c>
      <c r="M11" s="24">
        <f>Input!$C$16*Input!$C$18*Input!$C$19*Input!$C$21</f>
        <v>5712</v>
      </c>
    </row>
    <row r="12" spans="2:13" ht="20" customHeight="1" x14ac:dyDescent="0.2">
      <c r="B12" s="56" t="s">
        <v>158</v>
      </c>
      <c r="C12" s="22">
        <v>0</v>
      </c>
      <c r="D12" s="23">
        <f>Input!$C$17*Input!$C$20*Input!$C$22*Input!$C$18</f>
        <v>2448</v>
      </c>
      <c r="E12" s="23">
        <f>Input!$C$17*Input!$C$20*Input!$C$22*Input!$C$18</f>
        <v>2448</v>
      </c>
      <c r="F12" s="23">
        <f>Input!$C$17*Input!$C$20*Input!$C$22*Input!$C$18</f>
        <v>2448</v>
      </c>
      <c r="G12" s="23">
        <f>Input!$C$17*Input!$C$20*Input!$C$22*Input!$C$18</f>
        <v>2448</v>
      </c>
      <c r="H12" s="23">
        <f>Input!$C$17*Input!$C$20*Input!$C$22*Input!$C$18</f>
        <v>2448</v>
      </c>
      <c r="I12" s="23">
        <f>Input!$C$17*Input!$C$20*Input!$C$22*Input!$C$18</f>
        <v>2448</v>
      </c>
      <c r="J12" s="23">
        <f>Input!$C$17*Input!$C$20*Input!$C$22*Input!$C$18</f>
        <v>2448</v>
      </c>
      <c r="K12" s="23">
        <f>Input!$C$17*Input!$C$20*Input!$C$22*Input!$C$18</f>
        <v>2448</v>
      </c>
      <c r="L12" s="23">
        <f>Input!$C$17*Input!$C$20*Input!$C$22*Input!$C$18</f>
        <v>2448</v>
      </c>
      <c r="M12" s="24">
        <f>Input!$C$17*Input!$C$20*Input!$C$22*Input!$C$18</f>
        <v>2448</v>
      </c>
    </row>
    <row r="13" spans="2:13" ht="20" customHeight="1" x14ac:dyDescent="0.2">
      <c r="B13" s="56" t="s">
        <v>159</v>
      </c>
      <c r="C13" s="22">
        <v>0</v>
      </c>
      <c r="D13" s="59">
        <f>SUM(D11:D12)</f>
        <v>8160</v>
      </c>
      <c r="E13" s="59">
        <f t="shared" ref="E13:M13" si="2">SUM(E11:E12)</f>
        <v>8160</v>
      </c>
      <c r="F13" s="59">
        <f t="shared" si="2"/>
        <v>8160</v>
      </c>
      <c r="G13" s="59">
        <f t="shared" si="2"/>
        <v>8160</v>
      </c>
      <c r="H13" s="59">
        <f t="shared" si="2"/>
        <v>8160</v>
      </c>
      <c r="I13" s="59">
        <f t="shared" si="2"/>
        <v>8160</v>
      </c>
      <c r="J13" s="59">
        <f t="shared" si="2"/>
        <v>8160</v>
      </c>
      <c r="K13" s="59">
        <f t="shared" si="2"/>
        <v>8160</v>
      </c>
      <c r="L13" s="59">
        <f t="shared" si="2"/>
        <v>8160</v>
      </c>
      <c r="M13" s="60">
        <f t="shared" si="2"/>
        <v>8160</v>
      </c>
    </row>
    <row r="14" spans="2:13" ht="20" customHeight="1" thickBot="1" x14ac:dyDescent="0.25">
      <c r="B14" s="61" t="s">
        <v>160</v>
      </c>
      <c r="C14" s="30">
        <v>0</v>
      </c>
      <c r="D14" s="33">
        <f>MIN(D10,D13)</f>
        <v>3000</v>
      </c>
      <c r="E14" s="33">
        <f t="shared" ref="E14:M14" si="3">MIN(E10,E13)</f>
        <v>5250</v>
      </c>
      <c r="F14" s="33">
        <f t="shared" si="3"/>
        <v>6525</v>
      </c>
      <c r="G14" s="33">
        <f t="shared" si="3"/>
        <v>6720.75</v>
      </c>
      <c r="H14" s="33">
        <f t="shared" si="3"/>
        <v>6922.3725000000004</v>
      </c>
      <c r="I14" s="33">
        <f t="shared" si="3"/>
        <v>7130.0436749999999</v>
      </c>
      <c r="J14" s="33">
        <f t="shared" si="3"/>
        <v>7343.9449852500002</v>
      </c>
      <c r="K14" s="33">
        <f t="shared" si="3"/>
        <v>7564.2633348074996</v>
      </c>
      <c r="L14" s="33">
        <f>MIN(L10,L13)</f>
        <v>7791.1912348517253</v>
      </c>
      <c r="M14" s="34">
        <f t="shared" si="3"/>
        <v>8024.9269718972773</v>
      </c>
    </row>
    <row r="15" spans="2:13" x14ac:dyDescent="0.2">
      <c r="B15" s="81" t="s">
        <v>122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2:13" ht="19" thickBot="1" x14ac:dyDescent="0.25">
      <c r="B16" s="81" t="s">
        <v>122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2:13" ht="28" customHeight="1" x14ac:dyDescent="0.2">
      <c r="B17" s="125" t="s">
        <v>161</v>
      </c>
      <c r="C17" s="126" t="s">
        <v>63</v>
      </c>
      <c r="D17" s="126" t="s">
        <v>64</v>
      </c>
      <c r="E17" s="126" t="s">
        <v>65</v>
      </c>
      <c r="F17" s="126" t="s">
        <v>66</v>
      </c>
      <c r="G17" s="126" t="s">
        <v>67</v>
      </c>
      <c r="H17" s="126" t="s">
        <v>68</v>
      </c>
      <c r="I17" s="126" t="s">
        <v>69</v>
      </c>
      <c r="J17" s="126" t="s">
        <v>70</v>
      </c>
      <c r="K17" s="126" t="s">
        <v>71</v>
      </c>
      <c r="L17" s="126" t="s">
        <v>72</v>
      </c>
      <c r="M17" s="133" t="s">
        <v>73</v>
      </c>
    </row>
    <row r="18" spans="2:13" ht="20" customHeight="1" x14ac:dyDescent="0.2">
      <c r="B18" s="56" t="str">
        <f>Input!B64</f>
        <v>Orthopedics</v>
      </c>
      <c r="C18" s="22">
        <v>0</v>
      </c>
      <c r="D18" s="23">
        <f>$D$14*Input!C64</f>
        <v>750</v>
      </c>
      <c r="E18" s="23">
        <f>E14*Input!$C64</f>
        <v>1312.5</v>
      </c>
      <c r="F18" s="23">
        <f>F14*Input!$C64</f>
        <v>1631.25</v>
      </c>
      <c r="G18" s="23">
        <f>G14*Input!$C64</f>
        <v>1680.1875</v>
      </c>
      <c r="H18" s="23">
        <f>H14*Input!$C64</f>
        <v>1730.5931250000001</v>
      </c>
      <c r="I18" s="23">
        <f>I14*Input!$C64</f>
        <v>1782.51091875</v>
      </c>
      <c r="J18" s="23">
        <f>J14*Input!$C64</f>
        <v>1835.9862463125</v>
      </c>
      <c r="K18" s="23">
        <f>K14*Input!$C64</f>
        <v>1891.0658337018749</v>
      </c>
      <c r="L18" s="23">
        <f>L14*Input!$C64</f>
        <v>1947.7978087129313</v>
      </c>
      <c r="M18" s="24">
        <f>M14*Input!$C64</f>
        <v>2006.2317429743193</v>
      </c>
    </row>
    <row r="19" spans="2:13" ht="20" customHeight="1" x14ac:dyDescent="0.2">
      <c r="B19" s="56" t="str">
        <f>Input!B65</f>
        <v xml:space="preserve">General Surgery </v>
      </c>
      <c r="C19" s="22">
        <v>0</v>
      </c>
      <c r="D19" s="23">
        <f>$D$14*Input!C65</f>
        <v>600</v>
      </c>
      <c r="E19" s="23">
        <f>E$14*Input!$C65</f>
        <v>1050</v>
      </c>
      <c r="F19" s="23">
        <f>F14*Input!$C65</f>
        <v>1305</v>
      </c>
      <c r="G19" s="23">
        <f>G14*Input!$C65</f>
        <v>1344.15</v>
      </c>
      <c r="H19" s="23">
        <f>H14*Input!$C65</f>
        <v>1384.4745000000003</v>
      </c>
      <c r="I19" s="23">
        <f>I14*Input!$C65</f>
        <v>1426.0087350000001</v>
      </c>
      <c r="J19" s="23">
        <f>J14*Input!$C65</f>
        <v>1468.78899705</v>
      </c>
      <c r="K19" s="23">
        <f>K14*Input!$C65</f>
        <v>1512.8526669615001</v>
      </c>
      <c r="L19" s="23">
        <f>L14*Input!$C65</f>
        <v>1558.2382469703452</v>
      </c>
      <c r="M19" s="24">
        <f>M14*Input!$C65</f>
        <v>1604.9853943794556</v>
      </c>
    </row>
    <row r="20" spans="2:13" ht="20" customHeight="1" x14ac:dyDescent="0.2">
      <c r="B20" s="56" t="str">
        <f>Input!B66</f>
        <v xml:space="preserve">Urology </v>
      </c>
      <c r="C20" s="22">
        <v>0</v>
      </c>
      <c r="D20" s="23">
        <f>$D$14*Input!C66</f>
        <v>450</v>
      </c>
      <c r="E20" s="23">
        <f>E$14*Input!$C66</f>
        <v>787.5</v>
      </c>
      <c r="F20" s="23">
        <f>F$14*Input!$C66</f>
        <v>978.75</v>
      </c>
      <c r="G20" s="23">
        <f>G$14*Input!$C66</f>
        <v>1008.1125</v>
      </c>
      <c r="H20" s="23">
        <f>H$14*Input!$C66</f>
        <v>1038.355875</v>
      </c>
      <c r="I20" s="23">
        <f>I$14*Input!$C66</f>
        <v>1069.50655125</v>
      </c>
      <c r="J20" s="23">
        <f>J$14*Input!$C66</f>
        <v>1101.5917477875</v>
      </c>
      <c r="K20" s="23">
        <f>K$14*Input!$C66</f>
        <v>1134.639500221125</v>
      </c>
      <c r="L20" s="23">
        <f>L$14*Input!$C66</f>
        <v>1168.6786852277587</v>
      </c>
      <c r="M20" s="24">
        <f>M$14*Input!$C66</f>
        <v>1203.7390457845916</v>
      </c>
    </row>
    <row r="21" spans="2:13" ht="20" customHeight="1" x14ac:dyDescent="0.2">
      <c r="B21" s="56" t="str">
        <f>Input!B67</f>
        <v xml:space="preserve">OBGYN </v>
      </c>
      <c r="C21" s="22">
        <v>0</v>
      </c>
      <c r="D21" s="23">
        <f>$D$14*Input!C67</f>
        <v>300</v>
      </c>
      <c r="E21" s="23">
        <f>E$14*Input!$C67</f>
        <v>525</v>
      </c>
      <c r="F21" s="23">
        <f>F$14*Input!$C67</f>
        <v>652.5</v>
      </c>
      <c r="G21" s="23">
        <f>G$14*Input!$C67</f>
        <v>672.07500000000005</v>
      </c>
      <c r="H21" s="23">
        <f>H$14*Input!$C67</f>
        <v>692.23725000000013</v>
      </c>
      <c r="I21" s="23">
        <f>I$14*Input!$C67</f>
        <v>713.00436750000006</v>
      </c>
      <c r="J21" s="23">
        <f>J$14*Input!$C67</f>
        <v>734.39449852500002</v>
      </c>
      <c r="K21" s="23">
        <f>K$14*Input!$C67</f>
        <v>756.42633348075003</v>
      </c>
      <c r="L21" s="23">
        <f>L$14*Input!$C67</f>
        <v>779.11912348517262</v>
      </c>
      <c r="M21" s="24">
        <f>M$14*Input!$C67</f>
        <v>802.49269718972778</v>
      </c>
    </row>
    <row r="22" spans="2:13" ht="20" customHeight="1" x14ac:dyDescent="0.2">
      <c r="B22" s="56" t="str">
        <f>Input!B68</f>
        <v>ENT</v>
      </c>
      <c r="C22" s="22">
        <v>0</v>
      </c>
      <c r="D22" s="23">
        <f>$D$14*Input!C68</f>
        <v>150</v>
      </c>
      <c r="E22" s="23">
        <f>E$14*Input!$C68</f>
        <v>262.5</v>
      </c>
      <c r="F22" s="23">
        <f>F$14*Input!$C68</f>
        <v>326.25</v>
      </c>
      <c r="G22" s="23">
        <f>G$14*Input!$C68</f>
        <v>336.03750000000002</v>
      </c>
      <c r="H22" s="23">
        <f>H$14*Input!$C68</f>
        <v>346.11862500000007</v>
      </c>
      <c r="I22" s="23">
        <f>I$14*Input!$C68</f>
        <v>356.50218375000003</v>
      </c>
      <c r="J22" s="23">
        <f>J$14*Input!$C68</f>
        <v>367.19724926250001</v>
      </c>
      <c r="K22" s="23">
        <f>K$14*Input!$C68</f>
        <v>378.21316674037502</v>
      </c>
      <c r="L22" s="23">
        <f>L$14*Input!$C68</f>
        <v>389.55956174258631</v>
      </c>
      <c r="M22" s="24">
        <f>M$14*Input!$C68</f>
        <v>401.24634859486389</v>
      </c>
    </row>
    <row r="23" spans="2:13" ht="20" customHeight="1" x14ac:dyDescent="0.2">
      <c r="B23" s="56" t="str">
        <f>Input!B69</f>
        <v>Ophthalmology</v>
      </c>
      <c r="C23" s="22">
        <v>0</v>
      </c>
      <c r="D23" s="23">
        <f>$D$14*Input!C69</f>
        <v>150</v>
      </c>
      <c r="E23" s="23">
        <f>E$14*Input!$C69</f>
        <v>262.5</v>
      </c>
      <c r="F23" s="23">
        <f>F$14*Input!$C69</f>
        <v>326.25</v>
      </c>
      <c r="G23" s="23">
        <f>G$14*Input!$C69</f>
        <v>336.03750000000002</v>
      </c>
      <c r="H23" s="23">
        <f>H$14*Input!$C69</f>
        <v>346.11862500000007</v>
      </c>
      <c r="I23" s="23">
        <f>I$14*Input!$C69</f>
        <v>356.50218375000003</v>
      </c>
      <c r="J23" s="23">
        <f>J$14*Input!$C69</f>
        <v>367.19724926250001</v>
      </c>
      <c r="K23" s="23">
        <f>K$14*Input!$C69</f>
        <v>378.21316674037502</v>
      </c>
      <c r="L23" s="23">
        <f>L$14*Input!$C69</f>
        <v>389.55956174258631</v>
      </c>
      <c r="M23" s="24">
        <f>M$14*Input!$C69</f>
        <v>401.24634859486389</v>
      </c>
    </row>
    <row r="24" spans="2:13" ht="20" customHeight="1" x14ac:dyDescent="0.2">
      <c r="B24" s="56" t="str">
        <f>Input!B70</f>
        <v>GI Endoscopy (procedure rooms)</v>
      </c>
      <c r="C24" s="22">
        <v>0</v>
      </c>
      <c r="D24" s="23">
        <f>$D$14*Input!C70</f>
        <v>600</v>
      </c>
      <c r="E24" s="23">
        <f>E$14*Input!$C70</f>
        <v>1050</v>
      </c>
      <c r="F24" s="23">
        <f>F$14*Input!$C70</f>
        <v>1305</v>
      </c>
      <c r="G24" s="23">
        <f>G$14*Input!$C70</f>
        <v>1344.15</v>
      </c>
      <c r="H24" s="23">
        <f>H$14*Input!$C70</f>
        <v>1384.4745000000003</v>
      </c>
      <c r="I24" s="23">
        <f>I$14*Input!$C70</f>
        <v>1426.0087350000001</v>
      </c>
      <c r="J24" s="23">
        <f>J$14*Input!$C70</f>
        <v>1468.78899705</v>
      </c>
      <c r="K24" s="23">
        <f>K$14*Input!$C70</f>
        <v>1512.8526669615001</v>
      </c>
      <c r="L24" s="23">
        <f>L$14*Input!$C70</f>
        <v>1558.2382469703452</v>
      </c>
      <c r="M24" s="24">
        <f>M$14*Input!$C70</f>
        <v>1604.9853943794556</v>
      </c>
    </row>
    <row r="25" spans="2:13" ht="20" customHeight="1" thickBot="1" x14ac:dyDescent="0.25">
      <c r="B25" s="61" t="s">
        <v>162</v>
      </c>
      <c r="C25" s="30">
        <v>0</v>
      </c>
      <c r="D25" s="54">
        <f>SUMPRODUCT(D18:D24,Input!$F$64:$F$70)</f>
        <v>757.5</v>
      </c>
      <c r="E25" s="54">
        <f>SUMPRODUCT(E18:E24,Input!$F$64:$F$70)</f>
        <v>1325.625</v>
      </c>
      <c r="F25" s="54">
        <f>SUMPRODUCT(F18:F24,Input!$F$64:$F$70)</f>
        <v>1647.5625</v>
      </c>
      <c r="G25" s="54">
        <f>SUMPRODUCT(G18:G24,Input!$F$64:$F$70)</f>
        <v>1696.9893750000001</v>
      </c>
      <c r="H25" s="54">
        <f>SUMPRODUCT(H18:H24,Input!$F$64:$F$70)</f>
        <v>1747.8990562500003</v>
      </c>
      <c r="I25" s="54">
        <f>SUMPRODUCT(I18:I24,Input!$F$64:$F$70)</f>
        <v>1800.3360279375001</v>
      </c>
      <c r="J25" s="54">
        <f>SUMPRODUCT(J18:J24,Input!$F$64:$F$70)</f>
        <v>1854.346108775625</v>
      </c>
      <c r="K25" s="54">
        <f>SUMPRODUCT(K18:K24,Input!$F$64:$F$70)</f>
        <v>1909.9764920388939</v>
      </c>
      <c r="L25" s="54">
        <f>SUMPRODUCT(L18:L24,Input!$F$64:$F$70)</f>
        <v>1967.2757868000606</v>
      </c>
      <c r="M25" s="55">
        <f>SUMPRODUCT(M18:M24,Input!$F$64:$F$70)</f>
        <v>2026.2940604040623</v>
      </c>
    </row>
  </sheetData>
  <mergeCells count="1">
    <mergeCell ref="B2:M3"/>
  </mergeCells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3</xdr:col>
                    <xdr:colOff>279400</xdr:colOff>
                    <xdr:row>4</xdr:row>
                    <xdr:rowOff>12700</xdr:rowOff>
                  </from>
                  <to>
                    <xdr:col>4</xdr:col>
                    <xdr:colOff>927100</xdr:colOff>
                    <xdr:row>4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DB9D-436C-C343-9CBA-2A9909E2098E}">
  <dimension ref="B1:M19"/>
  <sheetViews>
    <sheetView showGridLines="0" zoomScaleNormal="100" workbookViewId="0">
      <selection activeCell="F25" sqref="F25"/>
    </sheetView>
  </sheetViews>
  <sheetFormatPr baseColWidth="10" defaultRowHeight="18" x14ac:dyDescent="0.2"/>
  <cols>
    <col min="1" max="1" width="5.83203125" style="37" customWidth="1"/>
    <col min="2" max="2" width="45.6640625" style="37" bestFit="1" customWidth="1"/>
    <col min="3" max="3" width="11.1640625" style="37" bestFit="1" customWidth="1"/>
    <col min="4" max="4" width="19.6640625" style="37" bestFit="1" customWidth="1"/>
    <col min="5" max="5" width="21" style="37" bestFit="1" customWidth="1"/>
    <col min="6" max="6" width="28.6640625" style="37" customWidth="1"/>
    <col min="7" max="13" width="21" style="37" bestFit="1" customWidth="1"/>
    <col min="14" max="16384" width="10.83203125" style="37"/>
  </cols>
  <sheetData>
    <row r="1" spans="2:13" ht="19" thickBot="1" x14ac:dyDescent="0.25"/>
    <row r="2" spans="2:13" ht="20" customHeight="1" x14ac:dyDescent="0.2">
      <c r="B2" s="168" t="s">
        <v>168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28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4" spans="2:13" ht="14" customHeight="1" thickBot="1" x14ac:dyDescent="0.25"/>
    <row r="5" spans="2:13" ht="25" customHeight="1" thickBot="1" x14ac:dyDescent="0.25">
      <c r="E5" s="149" t="s">
        <v>167</v>
      </c>
      <c r="F5" s="150">
        <v>1</v>
      </c>
      <c r="G5" s="81"/>
    </row>
    <row r="6" spans="2:13" ht="19" thickBot="1" x14ac:dyDescent="0.25"/>
    <row r="7" spans="2:13" ht="25" customHeight="1" x14ac:dyDescent="0.2">
      <c r="B7" s="125" t="s">
        <v>62</v>
      </c>
      <c r="C7" s="126" t="s">
        <v>63</v>
      </c>
      <c r="D7" s="126" t="s">
        <v>64</v>
      </c>
      <c r="E7" s="126" t="s">
        <v>65</v>
      </c>
      <c r="F7" s="126" t="s">
        <v>66</v>
      </c>
      <c r="G7" s="126" t="s">
        <v>67</v>
      </c>
      <c r="H7" s="126" t="s">
        <v>68</v>
      </c>
      <c r="I7" s="126" t="s">
        <v>69</v>
      </c>
      <c r="J7" s="126" t="s">
        <v>70</v>
      </c>
      <c r="K7" s="126" t="s">
        <v>71</v>
      </c>
      <c r="L7" s="126" t="s">
        <v>72</v>
      </c>
      <c r="M7" s="133" t="s">
        <v>73</v>
      </c>
    </row>
    <row r="8" spans="2:13" ht="20" customHeight="1" x14ac:dyDescent="0.2">
      <c r="B8" s="26" t="s">
        <v>76</v>
      </c>
      <c r="C8" s="22">
        <v>0</v>
      </c>
      <c r="D8" s="31" cm="1">
        <f t="array" ref="D8">SUMPRODUCT(Input!$D$57:$D$60,TRANSPOSE(INDEX(Scenarios!$C$6:$F$10,Volume!$D$5,0)))</f>
        <v>1.0880000000000001</v>
      </c>
      <c r="E8" s="31" cm="1">
        <f t="array" ref="E8">SUMPRODUCT(Input!$D$57:$D$60,TRANSPOSE(INDEX(Scenarios!$C$6:$F$10,Volume!$D$5,0)))</f>
        <v>1.0880000000000001</v>
      </c>
      <c r="F8" s="31" cm="1">
        <f t="array" ref="F8">SUMPRODUCT(Input!$D$57:$D$60,TRANSPOSE(INDEX(Scenarios!$C$6:$F$10,Volume!$D$5,0)))</f>
        <v>1.0880000000000001</v>
      </c>
      <c r="G8" s="31" cm="1">
        <f t="array" ref="G8">SUMPRODUCT(Input!$D$57:$D$60,TRANSPOSE(INDEX(Scenarios!$C$6:$F$10,Volume!$D$5,0)))</f>
        <v>1.0880000000000001</v>
      </c>
      <c r="H8" s="31" cm="1">
        <f t="array" ref="H8">SUMPRODUCT(Input!$D$57:$D$60,TRANSPOSE(INDEX(Scenarios!$C$6:$F$10,Volume!$D$5,0)))</f>
        <v>1.0880000000000001</v>
      </c>
      <c r="I8" s="31" cm="1">
        <f t="array" ref="I8">SUMPRODUCT(Input!$D$57:$D$60,TRANSPOSE(INDEX(Scenarios!$C$6:$F$10,Volume!$D$5,0)))</f>
        <v>1.0880000000000001</v>
      </c>
      <c r="J8" s="31" cm="1">
        <f t="array" ref="J8">SUMPRODUCT(Input!$D$57:$D$60,TRANSPOSE(INDEX(Scenarios!$C$6:$F$10,Volume!$D$5,0)))</f>
        <v>1.0880000000000001</v>
      </c>
      <c r="K8" s="31" cm="1">
        <f t="array" ref="K8">SUMPRODUCT(Input!$D$57:$D$60,TRANSPOSE(INDEX(Scenarios!$C$6:$F$10,Volume!$D$5,0)))</f>
        <v>1.0880000000000001</v>
      </c>
      <c r="L8" s="31" cm="1">
        <f t="array" ref="L8">SUMPRODUCT(Input!$D$57:$D$60,TRANSPOSE(INDEX(Scenarios!$C$6:$F$10,Volume!$D$5,0)))</f>
        <v>1.0880000000000001</v>
      </c>
      <c r="M8" s="32" cm="1">
        <f t="array" ref="M8">SUMPRODUCT(Input!$D$57:$D$60,TRANSPOSE(INDEX(Scenarios!$C$6:$F$10,Volume!$D$5,0)))</f>
        <v>1.0880000000000001</v>
      </c>
    </row>
    <row r="9" spans="2:13" ht="20" customHeight="1" thickBot="1" x14ac:dyDescent="0.25">
      <c r="B9" s="29" t="s">
        <v>77</v>
      </c>
      <c r="C9" s="47">
        <v>0</v>
      </c>
      <c r="D9" s="48">
        <f>SUM(D13:D19)</f>
        <v>28119360.000000004</v>
      </c>
      <c r="E9" s="48">
        <f t="shared" ref="E9:M9" si="0">SUM(E13:E19)</f>
        <v>76115970</v>
      </c>
      <c r="F9" s="48">
        <f t="shared" si="0"/>
        <v>97439315.310000002</v>
      </c>
      <c r="G9" s="48">
        <f t="shared" si="0"/>
        <v>103373369.61237901</v>
      </c>
      <c r="H9" s="48">
        <f t="shared" si="0"/>
        <v>109668807.82177287</v>
      </c>
      <c r="I9" s="48">
        <f t="shared" si="0"/>
        <v>116347638.21811885</v>
      </c>
      <c r="J9" s="48">
        <f t="shared" si="0"/>
        <v>123433209.38560228</v>
      </c>
      <c r="K9" s="48">
        <f t="shared" si="0"/>
        <v>130950291.83718549</v>
      </c>
      <c r="L9" s="48">
        <f t="shared" si="0"/>
        <v>138925164.61007005</v>
      </c>
      <c r="M9" s="49">
        <f t="shared" si="0"/>
        <v>147385707.13482332</v>
      </c>
    </row>
    <row r="10" spans="2:13" x14ac:dyDescent="0.2">
      <c r="C10" s="35"/>
    </row>
    <row r="11" spans="2:13" ht="19" thickBot="1" x14ac:dyDescent="0.25">
      <c r="C11" s="35"/>
    </row>
    <row r="12" spans="2:13" ht="27" customHeight="1" x14ac:dyDescent="0.2">
      <c r="B12" s="125" t="s">
        <v>78</v>
      </c>
      <c r="C12" s="126" t="s">
        <v>63</v>
      </c>
      <c r="D12" s="126" t="s">
        <v>64</v>
      </c>
      <c r="E12" s="126" t="s">
        <v>65</v>
      </c>
      <c r="F12" s="126" t="s">
        <v>66</v>
      </c>
      <c r="G12" s="126" t="s">
        <v>67</v>
      </c>
      <c r="H12" s="126" t="s">
        <v>68</v>
      </c>
      <c r="I12" s="126" t="s">
        <v>69</v>
      </c>
      <c r="J12" s="126" t="s">
        <v>70</v>
      </c>
      <c r="K12" s="126" t="s">
        <v>71</v>
      </c>
      <c r="L12" s="126" t="s">
        <v>72</v>
      </c>
      <c r="M12" s="133" t="s">
        <v>73</v>
      </c>
    </row>
    <row r="13" spans="2:13" ht="20" customHeight="1" x14ac:dyDescent="0.2">
      <c r="B13" s="26" t="str">
        <f>Input!B64</f>
        <v>Orthopedics</v>
      </c>
      <c r="C13" s="22">
        <v>0</v>
      </c>
      <c r="D13" s="39">
        <f>D$8*Volume!D$18*Input!$D64</f>
        <v>12240000.000000002</v>
      </c>
      <c r="E13" s="39">
        <f>E$8*Volume!E$18*Input!$D64*(1+Input!$C$10)^1</f>
        <v>22062600</v>
      </c>
      <c r="F13" s="39">
        <f>F$8*Volume!F$18*Input!$D64*(1+Input!$C$10)^2</f>
        <v>28243279.800000004</v>
      </c>
      <c r="G13" s="39">
        <f>G$8*Volume!G$18*Input!$D64*(1+Input!$C$10)^3</f>
        <v>29963295.539820001</v>
      </c>
      <c r="H13" s="39">
        <f>H$8*Volume!H$18*Input!$D64*(1+Input!$C$10)^4</f>
        <v>31788060.238195039</v>
      </c>
      <c r="I13" s="39">
        <f>I$8*Volume!I$18*Input!$D64*(1+Input!$C$10)^5</f>
        <v>33723953.106701113</v>
      </c>
      <c r="J13" s="39">
        <f>J$8*Volume!J$18*Input!$D64*(1+Input!$C$10)^6</f>
        <v>35777741.850899212</v>
      </c>
      <c r="K13" s="39">
        <f>K$8*Volume!K$18*Input!$D64*(1+Input!$C$10)^7</f>
        <v>37956606.329618976</v>
      </c>
      <c r="L13" s="39">
        <f>L$8*Volume!L$18*Input!$D64*(1+Input!$C$10)^8</f>
        <v>40268163.655092776</v>
      </c>
      <c r="M13" s="40">
        <f>M$8*Volume!M$18*Input!$D64*(1+Input!$C$10)^9</f>
        <v>42720494.821687922</v>
      </c>
    </row>
    <row r="14" spans="2:13" ht="20" customHeight="1" x14ac:dyDescent="0.2">
      <c r="B14" s="26" t="str">
        <f>Input!B65</f>
        <v xml:space="preserve">General Surgery </v>
      </c>
      <c r="C14" s="22">
        <v>0</v>
      </c>
      <c r="D14" s="23">
        <f>D$8*Volume!D19*Input!D65</f>
        <v>4569600.0000000009</v>
      </c>
      <c r="E14" s="23">
        <f>E$8*Volume!E$18*Input!$D65*(1+Input!$C$10)^1</f>
        <v>10295880</v>
      </c>
      <c r="F14" s="23">
        <f>F$8*Volume!F$18*Input!$D65*(1+Input!$C$10)^2</f>
        <v>13180197.240000002</v>
      </c>
      <c r="G14" s="23">
        <f>G$8*Volume!G$18*Input!$D65*(1+Input!$C$10)^3</f>
        <v>13982871.251916001</v>
      </c>
      <c r="H14" s="23">
        <f>H$8*Volume!H$18*Input!$D65*(1+Input!$C$10)^4</f>
        <v>14834428.111157686</v>
      </c>
      <c r="I14" s="23">
        <f>I$8*Volume!I$18*Input!$D65*(1+Input!$C$10)^5</f>
        <v>15737844.783127187</v>
      </c>
      <c r="J14" s="23">
        <f>J$8*Volume!J$18*Input!$D65*(1+Input!$C$10)^6</f>
        <v>16696279.530419633</v>
      </c>
      <c r="K14" s="23">
        <f>K$8*Volume!K$18*Input!$D65*(1+Input!$C$10)^7</f>
        <v>17713082.953822188</v>
      </c>
      <c r="L14" s="23">
        <f>L$8*Volume!L$18*Input!$D65*(1+Input!$C$10)^8</f>
        <v>18791809.70570996</v>
      </c>
      <c r="M14" s="24">
        <f>M$8*Volume!M$18*Input!$D65*(1+Input!$C$10)^9</f>
        <v>19936230.916787699</v>
      </c>
    </row>
    <row r="15" spans="2:13" ht="20" customHeight="1" x14ac:dyDescent="0.2">
      <c r="B15" s="26" t="str">
        <f>Input!B66</f>
        <v xml:space="preserve">Urology </v>
      </c>
      <c r="C15" s="22">
        <v>0</v>
      </c>
      <c r="D15" s="23">
        <f>D$8*Volume!D20*Input!D66</f>
        <v>6364800</v>
      </c>
      <c r="E15" s="23">
        <f>E$8*Volume!E$18*Input!$D66*(1+Input!$C$10)^1</f>
        <v>19120920</v>
      </c>
      <c r="F15" s="23">
        <f>F$8*Volume!F$18*Input!$D66*(1+Input!$C$10)^2</f>
        <v>24477509.160000004</v>
      </c>
      <c r="G15" s="23">
        <f>G$8*Volume!G$18*Input!$D66*(1+Input!$C$10)^3</f>
        <v>25968189.467844002</v>
      </c>
      <c r="H15" s="23">
        <f>H$8*Volume!H$18*Input!$D66*(1+Input!$C$10)^4</f>
        <v>27549652.206435703</v>
      </c>
      <c r="I15" s="23">
        <f>I$8*Volume!I$18*Input!$D66*(1+Input!$C$10)^5</f>
        <v>29227426.02580763</v>
      </c>
      <c r="J15" s="23">
        <f>J$8*Volume!J$18*Input!$D66*(1+Input!$C$10)^6</f>
        <v>31007376.270779319</v>
      </c>
      <c r="K15" s="23">
        <f>K$8*Volume!K$18*Input!$D66*(1+Input!$C$10)^7</f>
        <v>32895725.485669781</v>
      </c>
      <c r="L15" s="23">
        <f>L$8*Volume!L$18*Input!$D66*(1+Input!$C$10)^8</f>
        <v>34899075.167747065</v>
      </c>
      <c r="M15" s="24">
        <f>M$8*Volume!M$18*Input!$D66*(1+Input!$C$10)^9</f>
        <v>37024428.845462866</v>
      </c>
    </row>
    <row r="16" spans="2:13" ht="20" customHeight="1" x14ac:dyDescent="0.2">
      <c r="B16" s="26" t="str">
        <f>Input!B67</f>
        <v xml:space="preserve">OBGYN </v>
      </c>
      <c r="C16" s="22">
        <v>0</v>
      </c>
      <c r="D16" s="23">
        <f>D$8*Volume!D21*Input!D67</f>
        <v>3100800.0000000005</v>
      </c>
      <c r="E16" s="23">
        <f>E$8*Volume!E$18*Input!$D67*(1+Input!$C$10)^1</f>
        <v>13972980</v>
      </c>
      <c r="F16" s="23">
        <f>F$8*Volume!F$18*Input!$D67*(1+Input!$C$10)^2</f>
        <v>17887410.539999999</v>
      </c>
      <c r="G16" s="23">
        <f>G$8*Volume!G$18*Input!$D67*(1+Input!$C$10)^3</f>
        <v>18976753.841885999</v>
      </c>
      <c r="H16" s="23">
        <f>H$8*Volume!H$18*Input!$D67*(1+Input!$C$10)^4</f>
        <v>20132438.15085686</v>
      </c>
      <c r="I16" s="23">
        <f>I$8*Volume!I$18*Input!$D67*(1+Input!$C$10)^5</f>
        <v>21358503.63424404</v>
      </c>
      <c r="J16" s="23">
        <f>J$8*Volume!J$18*Input!$D67*(1+Input!$C$10)^6</f>
        <v>22659236.505569503</v>
      </c>
      <c r="K16" s="23">
        <f>K$8*Volume!K$18*Input!$D67*(1+Input!$C$10)^7</f>
        <v>24039184.008758686</v>
      </c>
      <c r="L16" s="23">
        <f>L$8*Volume!L$18*Input!$D67*(1+Input!$C$10)^8</f>
        <v>25503170.314892087</v>
      </c>
      <c r="M16" s="24">
        <f>M$8*Volume!M$18*Input!$D67*(1+Input!$C$10)^9</f>
        <v>27056313.38706902</v>
      </c>
    </row>
    <row r="17" spans="2:13" ht="20" customHeight="1" x14ac:dyDescent="0.2">
      <c r="B17" s="26" t="str">
        <f>Input!B68</f>
        <v>ENT</v>
      </c>
      <c r="C17" s="22">
        <v>0</v>
      </c>
      <c r="D17" s="23">
        <f>D$8*Volume!D22*Input!D68</f>
        <v>636480.00000000012</v>
      </c>
      <c r="E17" s="23">
        <f>E$8*Volume!E$18*Input!$D68*(1+Input!$C$10)^1</f>
        <v>5736276</v>
      </c>
      <c r="F17" s="23">
        <f>F$8*Volume!F$18*Input!$D68*(1+Input!$C$10)^2</f>
        <v>7343252.7480000006</v>
      </c>
      <c r="G17" s="23">
        <f>G$8*Volume!G$18*Input!$D68*(1+Input!$C$10)^3</f>
        <v>7790456.8403532002</v>
      </c>
      <c r="H17" s="23">
        <f>H$8*Volume!H$18*Input!$D68*(1+Input!$C$10)^4</f>
        <v>8264895.661930711</v>
      </c>
      <c r="I17" s="23">
        <f>I$8*Volume!I$18*Input!$D68*(1+Input!$C$10)^5</f>
        <v>8768227.8077422902</v>
      </c>
      <c r="J17" s="23">
        <f>J$8*Volume!J$18*Input!$D68*(1+Input!$C$10)^6</f>
        <v>9302212.8812337946</v>
      </c>
      <c r="K17" s="23">
        <f>K$8*Volume!K$18*Input!$D68*(1+Input!$C$10)^7</f>
        <v>9868717.6457009334</v>
      </c>
      <c r="L17" s="23">
        <f>L$8*Volume!L$18*Input!$D68*(1+Input!$C$10)^8</f>
        <v>10469722.550324121</v>
      </c>
      <c r="M17" s="24">
        <f>M$8*Volume!M$18*Input!$D68*(1+Input!$C$10)^9</f>
        <v>11107328.65363886</v>
      </c>
    </row>
    <row r="18" spans="2:13" ht="20" customHeight="1" x14ac:dyDescent="0.2">
      <c r="B18" s="26" t="str">
        <f>Input!B69</f>
        <v>Ophthalmology</v>
      </c>
      <c r="C18" s="22">
        <v>0</v>
      </c>
      <c r="D18" s="23">
        <f>D$8*Volume!D23*Input!D69</f>
        <v>326400.00000000006</v>
      </c>
      <c r="E18" s="23">
        <f>E$8*Volume!E$18*Input!$D69*(1+Input!$C$10)^1</f>
        <v>2941680</v>
      </c>
      <c r="F18" s="23">
        <f>F$8*Volume!F$18*Input!$D69*(1+Input!$C$10)^2</f>
        <v>3765770.64</v>
      </c>
      <c r="G18" s="23">
        <f>G$8*Volume!G$18*Input!$D69*(1+Input!$C$10)^3</f>
        <v>3995106.071976</v>
      </c>
      <c r="H18" s="23">
        <f>H$8*Volume!H$18*Input!$D69*(1+Input!$C$10)^4</f>
        <v>4238408.0317593385</v>
      </c>
      <c r="I18" s="23">
        <f>I$8*Volume!I$18*Input!$D69*(1+Input!$C$10)^5</f>
        <v>4496527.0808934821</v>
      </c>
      <c r="J18" s="23">
        <f>J$8*Volume!J$18*Input!$D69*(1+Input!$C$10)^6</f>
        <v>4770365.5801198957</v>
      </c>
      <c r="K18" s="23">
        <f>K$8*Volume!K$18*Input!$D69*(1+Input!$C$10)^7</f>
        <v>5060880.8439491969</v>
      </c>
      <c r="L18" s="23">
        <f>L$8*Volume!L$18*Input!$D69*(1+Input!$C$10)^8</f>
        <v>5369088.487345702</v>
      </c>
      <c r="M18" s="24">
        <f>M$8*Volume!M$18*Input!$D69*(1+Input!$C$10)^9</f>
        <v>5696065.9762250576</v>
      </c>
    </row>
    <row r="19" spans="2:13" ht="20" customHeight="1" thickBot="1" x14ac:dyDescent="0.25">
      <c r="B19" s="52" t="str">
        <f>Input!B70</f>
        <v>GI Endoscopy (procedure rooms)</v>
      </c>
      <c r="C19" s="30">
        <v>0</v>
      </c>
      <c r="D19" s="54">
        <f>D$8*Volume!D24*Input!D70</f>
        <v>881280.00000000012</v>
      </c>
      <c r="E19" s="54">
        <f>E$8*Volume!E$18*Input!$D70*(1+Input!$C$10)^1</f>
        <v>1985634</v>
      </c>
      <c r="F19" s="54">
        <f>F$8*Volume!F$18*Input!$D70*(1+Input!$C$10)^2</f>
        <v>2541895.1820000005</v>
      </c>
      <c r="G19" s="54">
        <f>G$8*Volume!G$18*Input!$D70*(1+Input!$C$10)^3</f>
        <v>2696696.5985837998</v>
      </c>
      <c r="H19" s="54">
        <f>H$8*Volume!H$18*Input!$D70*(1+Input!$C$10)^4</f>
        <v>2860925.4214375536</v>
      </c>
      <c r="I19" s="54">
        <f>I$8*Volume!I$18*Input!$D70*(1+Input!$C$10)^5</f>
        <v>3035155.7796031004</v>
      </c>
      <c r="J19" s="54">
        <f>J$8*Volume!J$18*Input!$D70*(1+Input!$C$10)^6</f>
        <v>3219996.7665809295</v>
      </c>
      <c r="K19" s="54">
        <f>K$8*Volume!K$18*Input!$D70*(1+Input!$C$10)^7</f>
        <v>3416094.5696657081</v>
      </c>
      <c r="L19" s="54">
        <f>L$8*Volume!L$18*Input!$D70*(1+Input!$C$10)^8</f>
        <v>3624134.7289583492</v>
      </c>
      <c r="M19" s="55">
        <f>M$8*Volume!M$18*Input!$D70*(1+Input!$C$10)^9</f>
        <v>3844844.5339519135</v>
      </c>
    </row>
  </sheetData>
  <mergeCells count="1">
    <mergeCell ref="B2:M3"/>
  </mergeCells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 Down 1">
              <controlPr defaultSize="0" autoLine="0" autoPict="0">
                <anchor moveWithCells="1">
                  <from>
                    <xdr:col>5</xdr:col>
                    <xdr:colOff>228600</xdr:colOff>
                    <xdr:row>4</xdr:row>
                    <xdr:rowOff>12700</xdr:rowOff>
                  </from>
                  <to>
                    <xdr:col>5</xdr:col>
                    <xdr:colOff>2146300</xdr:colOff>
                    <xdr:row>4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463-3183-E64B-AA3B-44A67F2FD632}">
  <dimension ref="B1:M26"/>
  <sheetViews>
    <sheetView showGridLines="0" zoomScale="110" zoomScaleNormal="110" workbookViewId="0">
      <selection activeCell="F44" sqref="F44"/>
    </sheetView>
  </sheetViews>
  <sheetFormatPr baseColWidth="10" defaultRowHeight="18" x14ac:dyDescent="0.2"/>
  <cols>
    <col min="1" max="1" width="5.33203125" style="37" customWidth="1"/>
    <col min="2" max="2" width="45.1640625" style="37" customWidth="1"/>
    <col min="3" max="3" width="10.83203125" style="37"/>
    <col min="4" max="4" width="18.33203125" style="37" bestFit="1" customWidth="1"/>
    <col min="5" max="5" width="17.83203125" style="37" customWidth="1"/>
    <col min="6" max="6" width="20" style="37" customWidth="1"/>
    <col min="7" max="7" width="22.5" style="37" customWidth="1"/>
    <col min="8" max="13" width="19.6640625" style="37" bestFit="1" customWidth="1"/>
    <col min="14" max="16384" width="10.83203125" style="37"/>
  </cols>
  <sheetData>
    <row r="1" spans="2:13" ht="19" thickBot="1" x14ac:dyDescent="0.25"/>
    <row r="2" spans="2:13" x14ac:dyDescent="0.2">
      <c r="B2" s="168" t="s">
        <v>169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29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4" spans="2:13" ht="13" customHeight="1" x14ac:dyDescent="0.2"/>
    <row r="5" spans="2:13" ht="24" customHeight="1" x14ac:dyDescent="0.2">
      <c r="F5" s="134" t="s">
        <v>167</v>
      </c>
      <c r="G5" s="135"/>
    </row>
    <row r="6" spans="2:13" ht="19" thickBot="1" x14ac:dyDescent="0.25"/>
    <row r="7" spans="2:13" ht="29" customHeight="1" x14ac:dyDescent="0.2">
      <c r="B7" s="125" t="s">
        <v>131</v>
      </c>
      <c r="C7" s="126" t="s">
        <v>63</v>
      </c>
      <c r="D7" s="126" t="s">
        <v>64</v>
      </c>
      <c r="E7" s="126" t="s">
        <v>65</v>
      </c>
      <c r="F7" s="126" t="s">
        <v>66</v>
      </c>
      <c r="G7" s="126" t="s">
        <v>67</v>
      </c>
      <c r="H7" s="126" t="s">
        <v>68</v>
      </c>
      <c r="I7" s="126" t="s">
        <v>69</v>
      </c>
      <c r="J7" s="126" t="s">
        <v>70</v>
      </c>
      <c r="K7" s="126" t="s">
        <v>71</v>
      </c>
      <c r="L7" s="126" t="s">
        <v>72</v>
      </c>
      <c r="M7" s="133" t="s">
        <v>73</v>
      </c>
    </row>
    <row r="8" spans="2:13" ht="20" customHeight="1" x14ac:dyDescent="0.2">
      <c r="B8" s="26" t="str">
        <f>Input!B64</f>
        <v>Orthopedics</v>
      </c>
      <c r="C8" s="22">
        <v>0</v>
      </c>
      <c r="D8" s="23">
        <f>Volume!D18*Input!$E64</f>
        <v>6750000</v>
      </c>
      <c r="E8" s="23">
        <f>Volume!E18*Input!$E64*(1+Input!$C$9)^1</f>
        <v>12166875</v>
      </c>
      <c r="F8" s="23">
        <f>Volume!F18*Input!$E64*(1+Input!$C$9)^2</f>
        <v>15575338.125</v>
      </c>
      <c r="G8" s="23">
        <f>Volume!G18*Input!$E64*(1+Input!$C$9)^3</f>
        <v>16523876.216812501</v>
      </c>
      <c r="H8" s="23">
        <f>Volume!H18*Input!$E64*(1+Input!$C$9)^4</f>
        <v>17530180.27841638</v>
      </c>
      <c r="I8" s="23">
        <f>Volume!I18*Input!$E64*(1+Input!$C$9)^5</f>
        <v>18597768.257371936</v>
      </c>
      <c r="J8" s="23">
        <f>Volume!J18*Input!$E64*(1+Input!$C$9)^6</f>
        <v>19730372.344245888</v>
      </c>
      <c r="K8" s="23">
        <f>Volume!K18*Input!$E64*(1+Input!$C$9)^7</f>
        <v>20931952.020010464</v>
      </c>
      <c r="L8" s="23">
        <f>Volume!L18*Input!$E64*(1+Input!$C$9)^8</f>
        <v>22206707.898029096</v>
      </c>
      <c r="M8" s="24">
        <f>Volume!M18*Input!$E64*(1+Input!$C$9)^9</f>
        <v>23559096.409019075</v>
      </c>
    </row>
    <row r="9" spans="2:13" ht="20" customHeight="1" x14ac:dyDescent="0.2">
      <c r="B9" s="26" t="str">
        <f>Input!B65</f>
        <v xml:space="preserve">General Surgery </v>
      </c>
      <c r="C9" s="22">
        <v>0</v>
      </c>
      <c r="D9" s="23">
        <f>Volume!D19*Input!E65</f>
        <v>1500000</v>
      </c>
      <c r="E9" s="23">
        <f>Volume!E19*Input!$E65*(1+Input!$C$9)^1</f>
        <v>2703750</v>
      </c>
      <c r="F9" s="23">
        <f>Volume!F19*Input!$E65*(1+Input!$C$9)^2</f>
        <v>3461186.25</v>
      </c>
      <c r="G9" s="23">
        <f>Volume!G19*Input!$E65*(1+Input!$C$9)^3</f>
        <v>3671972.492625</v>
      </c>
      <c r="H9" s="23">
        <f>Volume!H19*Input!$E65*(1+Input!$C$9)^4</f>
        <v>3895595.6174258627</v>
      </c>
      <c r="I9" s="23">
        <f>Volume!I19*Input!$E65*(1+Input!$C$9)^5</f>
        <v>4132837.3905270975</v>
      </c>
      <c r="J9" s="23">
        <f>Volume!J19*Input!$E65*(1+Input!$C$9)^6</f>
        <v>4384527.1876101978</v>
      </c>
      <c r="K9" s="23">
        <f>Volume!K19*Input!$E65*(1+Input!$C$9)^7</f>
        <v>4651544.8933356591</v>
      </c>
      <c r="L9" s="23">
        <f>Volume!L19*Input!$E65*(1+Input!$C$9)^8</f>
        <v>4934823.9773398004</v>
      </c>
      <c r="M9" s="24">
        <f>Volume!M19*Input!$E65*(1+Input!$C$9)^9</f>
        <v>5235354.7575597949</v>
      </c>
    </row>
    <row r="10" spans="2:13" ht="20" customHeight="1" x14ac:dyDescent="0.2">
      <c r="B10" s="26" t="str">
        <f>Input!B66</f>
        <v xml:space="preserve">Urology </v>
      </c>
      <c r="C10" s="22">
        <v>0</v>
      </c>
      <c r="D10" s="23">
        <f>Volume!D20*Input!E66</f>
        <v>2475000</v>
      </c>
      <c r="E10" s="23">
        <f>Volume!E20*Input!$E66*(1+Input!$C$9)^1</f>
        <v>4461187.5</v>
      </c>
      <c r="F10" s="23">
        <f>Volume!F20*Input!$E66*(1+Input!$C$9)^2</f>
        <v>5710957.3125</v>
      </c>
      <c r="G10" s="23">
        <f>Volume!G20*Input!$E66*(1+Input!$C$9)^3</f>
        <v>6058754.6128312498</v>
      </c>
      <c r="H10" s="23">
        <f>Volume!H20*Input!$E66*(1+Input!$C$9)^4</f>
        <v>6427732.7687526727</v>
      </c>
      <c r="I10" s="23">
        <f>Volume!I20*Input!$E66*(1+Input!$C$9)^5</f>
        <v>6819181.6943697101</v>
      </c>
      <c r="J10" s="23">
        <f>Volume!J20*Input!$E66*(1+Input!$C$9)^6</f>
        <v>7234469.8595568258</v>
      </c>
      <c r="K10" s="23">
        <f>Volume!K20*Input!$E66*(1+Input!$C$9)^7</f>
        <v>7675049.0740038361</v>
      </c>
      <c r="L10" s="23">
        <f>Volume!L20*Input!$E66*(1+Input!$C$9)^8</f>
        <v>8142459.5626106691</v>
      </c>
      <c r="M10" s="24">
        <f>Volume!M20*Input!$E66*(1+Input!$C$9)^9</f>
        <v>8638335.34997366</v>
      </c>
    </row>
    <row r="11" spans="2:13" ht="20" customHeight="1" x14ac:dyDescent="0.2">
      <c r="B11" s="26" t="str">
        <f>Input!B67</f>
        <v xml:space="preserve">OBGYN </v>
      </c>
      <c r="C11" s="22">
        <v>0</v>
      </c>
      <c r="D11" s="23">
        <f>Volume!D21*Input!E67</f>
        <v>1290000</v>
      </c>
      <c r="E11" s="23">
        <f>Volume!E21*Input!$E67*(1+Input!$C$9)^1</f>
        <v>2325225</v>
      </c>
      <c r="F11" s="23">
        <f>Volume!F21*Input!$E67*(1+Input!$C$9)^2</f>
        <v>2976620.1749999998</v>
      </c>
      <c r="G11" s="23">
        <f>Volume!G21*Input!$E67*(1+Input!$C$9)^3</f>
        <v>3157896.3436575001</v>
      </c>
      <c r="H11" s="23">
        <f>Volume!H21*Input!$E67*(1+Input!$C$9)^4</f>
        <v>3350212.2309862422</v>
      </c>
      <c r="I11" s="23">
        <f>Volume!I21*Input!$E67*(1+Input!$C$9)^5</f>
        <v>3554240.1558533036</v>
      </c>
      <c r="J11" s="23">
        <f>Volume!J21*Input!$E67*(1+Input!$C$9)^6</f>
        <v>3770693.3813447701</v>
      </c>
      <c r="K11" s="23">
        <f>Volume!K21*Input!$E67*(1+Input!$C$9)^7</f>
        <v>4000328.6082686665</v>
      </c>
      <c r="L11" s="23">
        <f>Volume!L21*Input!$E67*(1+Input!$C$9)^8</f>
        <v>4243948.6205122285</v>
      </c>
      <c r="M11" s="24">
        <f>Volume!M21*Input!$E67*(1+Input!$C$9)^9</f>
        <v>4502405.0915014232</v>
      </c>
    </row>
    <row r="12" spans="2:13" ht="20" customHeight="1" x14ac:dyDescent="0.2">
      <c r="B12" s="26" t="str">
        <f>Input!B68</f>
        <v>ENT</v>
      </c>
      <c r="C12" s="22">
        <v>0</v>
      </c>
      <c r="D12" s="23">
        <f>Volume!D22*Input!E68</f>
        <v>217500</v>
      </c>
      <c r="E12" s="23">
        <f>Volume!E22*Input!$E68*(1+Input!$C$9)^1</f>
        <v>392043.75</v>
      </c>
      <c r="F12" s="23">
        <f>Volume!F22*Input!$E68*(1+Input!$C$9)^2</f>
        <v>501872.00624999998</v>
      </c>
      <c r="G12" s="23">
        <f>Volume!G22*Input!$E68*(1+Input!$C$9)^3</f>
        <v>532436.01143062511</v>
      </c>
      <c r="H12" s="23">
        <f>Volume!H22*Input!$E68*(1+Input!$C$9)^4</f>
        <v>564861.36452675017</v>
      </c>
      <c r="I12" s="23">
        <f>Volume!I22*Input!$E68*(1+Input!$C$9)^5</f>
        <v>599261.42162642907</v>
      </c>
      <c r="J12" s="23">
        <f>Volume!J22*Input!$E68*(1+Input!$C$9)^6</f>
        <v>635756.44220347865</v>
      </c>
      <c r="K12" s="23">
        <f>Volume!K22*Input!$E68*(1+Input!$C$9)^7</f>
        <v>674474.0095336705</v>
      </c>
      <c r="L12" s="23">
        <f>Volume!L22*Input!$E68*(1+Input!$C$9)^8</f>
        <v>715549.47671427112</v>
      </c>
      <c r="M12" s="24">
        <f>Volume!M22*Input!$E68*(1+Input!$C$9)^9</f>
        <v>759126.43984617013</v>
      </c>
    </row>
    <row r="13" spans="2:13" ht="20" customHeight="1" x14ac:dyDescent="0.2">
      <c r="B13" s="26" t="str">
        <f>Input!B69</f>
        <v>Ophthalmology</v>
      </c>
      <c r="C13" s="22">
        <v>0</v>
      </c>
      <c r="D13" s="23">
        <f>Volume!D23*Input!E69</f>
        <v>127500</v>
      </c>
      <c r="E13" s="23">
        <f>Volume!E23*Input!$E69*(1+Input!$C$9)^1</f>
        <v>229818.75</v>
      </c>
      <c r="F13" s="23">
        <f>Volume!F23*Input!$E69*(1+Input!$C$9)^2</f>
        <v>294200.83124999999</v>
      </c>
      <c r="G13" s="23">
        <f>Volume!G23*Input!$E69*(1+Input!$C$9)^3</f>
        <v>312117.66187312501</v>
      </c>
      <c r="H13" s="23">
        <f>Volume!H23*Input!$E69*(1+Input!$C$9)^4</f>
        <v>331125.62748119835</v>
      </c>
      <c r="I13" s="23">
        <f>Volume!I23*Input!$E69*(1+Input!$C$9)^5</f>
        <v>351291.17819480324</v>
      </c>
      <c r="J13" s="23">
        <f>Volume!J23*Input!$E69*(1+Input!$C$9)^6</f>
        <v>372684.81094686681</v>
      </c>
      <c r="K13" s="23">
        <f>Volume!K23*Input!$E69*(1+Input!$C$9)^7</f>
        <v>395381.31593353098</v>
      </c>
      <c r="L13" s="23">
        <f>Volume!L23*Input!$E69*(1+Input!$C$9)^8</f>
        <v>419460.03807388304</v>
      </c>
      <c r="M13" s="24">
        <f>Volume!M23*Input!$E69*(1+Input!$C$9)^9</f>
        <v>445005.15439258248</v>
      </c>
    </row>
    <row r="14" spans="2:13" ht="20" customHeight="1" x14ac:dyDescent="0.2">
      <c r="B14" s="26" t="str">
        <f>Input!B70</f>
        <v>GI Endoscopy (procedure rooms)</v>
      </c>
      <c r="C14" s="22">
        <v>0</v>
      </c>
      <c r="D14" s="23">
        <f>Volume!D24*Input!E70</f>
        <v>366000</v>
      </c>
      <c r="E14" s="23">
        <f>Volume!E24*Input!$E70*(1+Input!$C$9)^1</f>
        <v>659715</v>
      </c>
      <c r="F14" s="23">
        <f>Volume!F24*Input!$E70*(1+Input!$C$9)^2</f>
        <v>844529.44499999995</v>
      </c>
      <c r="G14" s="23">
        <f>Volume!G24*Input!$E70*(1+Input!$C$9)^3</f>
        <v>895961.28820049996</v>
      </c>
      <c r="H14" s="23">
        <f>Volume!H24*Input!$E70*(1+Input!$C$9)^4</f>
        <v>950525.33065191063</v>
      </c>
      <c r="I14" s="23">
        <f>Volume!I24*Input!$E70*(1+Input!$C$9)^5</f>
        <v>1008412.3232886117</v>
      </c>
      <c r="J14" s="23">
        <f>Volume!J24*Input!$E70*(1+Input!$C$9)^6</f>
        <v>1069824.6337768883</v>
      </c>
      <c r="K14" s="23">
        <f>Volume!K24*Input!$E70*(1+Input!$C$9)^7</f>
        <v>1134976.9539739008</v>
      </c>
      <c r="L14" s="23">
        <f>Volume!L24*Input!$E70*(1+Input!$C$9)^8</f>
        <v>1204097.0504709114</v>
      </c>
      <c r="M14" s="24">
        <f>Volume!M24*Input!$E70*(1+Input!$C$9)^9</f>
        <v>1277426.5608445897</v>
      </c>
    </row>
    <row r="15" spans="2:13" ht="20" customHeight="1" x14ac:dyDescent="0.2">
      <c r="B15" s="26" t="s">
        <v>132</v>
      </c>
      <c r="C15" s="22">
        <v>0</v>
      </c>
      <c r="D15" s="23">
        <f>Volume!D$25*Input!$C$37</f>
        <v>1136250</v>
      </c>
      <c r="E15" s="23">
        <f>Volume!E$25*Input!$C$37*(1+Input!C9)^1</f>
        <v>2048090.625</v>
      </c>
      <c r="F15" s="23">
        <f>Volume!F$25*Input!$C$37*(1+Input!$C$9)^2</f>
        <v>2621848.5843750001</v>
      </c>
      <c r="G15" s="23">
        <f>Volume!G$25*Input!$C$37*(1+Input!$C$9)^3</f>
        <v>2781519.1631634375</v>
      </c>
      <c r="H15" s="23">
        <f>Volume!H$25*Input!$C$37*(1+Input!$C$9)^4</f>
        <v>2950913.6802000911</v>
      </c>
      <c r="I15" s="23">
        <f>Volume!I$25*Input!$C$37*(1+Input!$C$9)^5</f>
        <v>3130624.3233242761</v>
      </c>
      <c r="J15" s="23">
        <f>Volume!J$25*Input!$C$37*(1+Input!$C$9)^6</f>
        <v>3321279.3446147246</v>
      </c>
      <c r="K15" s="23">
        <f>Volume!K$25*Input!$C$37*(1+Input!$C$9)^7</f>
        <v>3523545.2567017619</v>
      </c>
      <c r="L15" s="23">
        <f>Volume!L$25*Input!$C$37*(1+Input!$C$9)^8</f>
        <v>3738129.1628348986</v>
      </c>
      <c r="M15" s="24">
        <f>Volume!M$25*Input!$C$37*(1+Input!$C$9)^9</f>
        <v>3965781.2288515437</v>
      </c>
    </row>
    <row r="16" spans="2:13" ht="20" customHeight="1" x14ac:dyDescent="0.2">
      <c r="B16" s="26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4"/>
    </row>
    <row r="17" spans="2:13" ht="20" customHeight="1" thickBot="1" x14ac:dyDescent="0.25">
      <c r="B17" s="162" t="s">
        <v>113</v>
      </c>
      <c r="C17" s="163">
        <v>0</v>
      </c>
      <c r="D17" s="164">
        <f>SUM(D8:D15)</f>
        <v>13862250</v>
      </c>
      <c r="E17" s="164">
        <f t="shared" ref="E17:M17" si="0">SUM(E8:E15)</f>
        <v>24986705.625</v>
      </c>
      <c r="F17" s="164">
        <f t="shared" si="0"/>
        <v>31986552.729375005</v>
      </c>
      <c r="G17" s="164">
        <f t="shared" si="0"/>
        <v>33934533.790593937</v>
      </c>
      <c r="H17" s="164">
        <f t="shared" si="0"/>
        <v>36001146.898441106</v>
      </c>
      <c r="I17" s="164">
        <f t="shared" si="0"/>
        <v>38193616.744556174</v>
      </c>
      <c r="J17" s="164">
        <f t="shared" si="0"/>
        <v>40519608.004299641</v>
      </c>
      <c r="K17" s="164">
        <f t="shared" si="0"/>
        <v>42987252.131761491</v>
      </c>
      <c r="L17" s="164">
        <f t="shared" si="0"/>
        <v>45605175.786585756</v>
      </c>
      <c r="M17" s="165">
        <f t="shared" si="0"/>
        <v>48382530.991988845</v>
      </c>
    </row>
    <row r="18" spans="2:13" ht="19" thickBot="1" x14ac:dyDescent="0.25">
      <c r="B18" s="37" t="s">
        <v>122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2:13" ht="28" customHeight="1" x14ac:dyDescent="0.2">
      <c r="B19" s="125" t="s">
        <v>127</v>
      </c>
      <c r="C19" s="126" t="s">
        <v>63</v>
      </c>
      <c r="D19" s="126" t="s">
        <v>64</v>
      </c>
      <c r="E19" s="126" t="s">
        <v>65</v>
      </c>
      <c r="F19" s="126" t="s">
        <v>66</v>
      </c>
      <c r="G19" s="126" t="s">
        <v>67</v>
      </c>
      <c r="H19" s="126" t="s">
        <v>68</v>
      </c>
      <c r="I19" s="126" t="s">
        <v>69</v>
      </c>
      <c r="J19" s="126" t="s">
        <v>70</v>
      </c>
      <c r="K19" s="126" t="s">
        <v>71</v>
      </c>
      <c r="L19" s="126" t="s">
        <v>72</v>
      </c>
      <c r="M19" s="133" t="s">
        <v>73</v>
      </c>
    </row>
    <row r="20" spans="2:13" ht="20" customHeight="1" x14ac:dyDescent="0.2">
      <c r="B20" s="26" t="s">
        <v>133</v>
      </c>
      <c r="C20" s="22">
        <v>0</v>
      </c>
      <c r="D20" s="23">
        <f>Input!$C$52</f>
        <v>7719680</v>
      </c>
      <c r="E20" s="23">
        <f>D20*(1+Input!$C$9)</f>
        <v>7951270.4000000004</v>
      </c>
      <c r="F20" s="23">
        <f>E20*(1+Input!$C$9)</f>
        <v>8189808.512000001</v>
      </c>
      <c r="G20" s="23">
        <f>F20*(1+Input!$C$9)</f>
        <v>8435502.7673600018</v>
      </c>
      <c r="H20" s="23">
        <f>G20*(1+Input!$C$9)</f>
        <v>8688567.8503808025</v>
      </c>
      <c r="I20" s="23">
        <f>H20*(1+Input!$C$9)</f>
        <v>8949224.8858922273</v>
      </c>
      <c r="J20" s="23">
        <f>I20*(1+Input!$C$9)</f>
        <v>9217701.6324689947</v>
      </c>
      <c r="K20" s="23">
        <f>J20*(1+Input!$C$9)</f>
        <v>9494232.6814430654</v>
      </c>
      <c r="L20" s="23">
        <f>K20*(1+Input!$C$9)</f>
        <v>9779059.6618863568</v>
      </c>
      <c r="M20" s="24">
        <f>L20*(1+Input!$C$9)</f>
        <v>10072431.451742947</v>
      </c>
    </row>
    <row r="21" spans="2:13" ht="20" customHeight="1" x14ac:dyDescent="0.2">
      <c r="B21" s="26" t="s">
        <v>7</v>
      </c>
      <c r="C21" s="22">
        <v>0</v>
      </c>
      <c r="D21" s="23">
        <f>Revenue!D9*Input!$C$12</f>
        <v>1124774.4000000001</v>
      </c>
      <c r="E21" s="23">
        <f>Revenue!E9*Input!$C$12*(1+Input!$C$12)</f>
        <v>3166424.3520000004</v>
      </c>
      <c r="F21" s="23">
        <f>Revenue!F9*Input!$C$12*(1+Input!$C$12)</f>
        <v>4053475.5168960001</v>
      </c>
      <c r="G21" s="23">
        <f>Revenue!G9*Input!$C$12*(1+Input!$C$12)</f>
        <v>4300332.1758749671</v>
      </c>
      <c r="H21" s="23">
        <f>Revenue!H9*Input!$C$12*(1+Input!$C$12)</f>
        <v>4562222.4053857522</v>
      </c>
      <c r="I21" s="23">
        <f>Revenue!I9*Input!$C$12*(1+Input!$C$12)</f>
        <v>4840061.7498737443</v>
      </c>
      <c r="J21" s="23">
        <f>Revenue!J9*Input!$C$12*(1+Input!$C$12)</f>
        <v>5134821.5104410555</v>
      </c>
      <c r="K21" s="23">
        <f>Revenue!K9*Input!$C$12*(1+Input!$C$12)</f>
        <v>5447532.1404269161</v>
      </c>
      <c r="L21" s="23">
        <f>Revenue!L9*Input!$C$12*(1+Input!$C$12)</f>
        <v>5779286.8477789145</v>
      </c>
      <c r="M21" s="24">
        <f>Revenue!M9*Input!$C$12*(1+Input!$C$12)</f>
        <v>6131245.4168086499</v>
      </c>
    </row>
    <row r="22" spans="2:13" ht="20" customHeight="1" x14ac:dyDescent="0.2">
      <c r="B22" s="26" t="s">
        <v>134</v>
      </c>
      <c r="C22" s="22">
        <v>0</v>
      </c>
      <c r="D22" s="23">
        <f>Input!$C$29*Input!$C$31</f>
        <v>300000</v>
      </c>
      <c r="E22" s="23">
        <f>D22*(1+Input!$C$9)</f>
        <v>309000</v>
      </c>
      <c r="F22" s="23">
        <f>E22*(1+Input!$C$9)</f>
        <v>318270</v>
      </c>
      <c r="G22" s="23">
        <f>F22*(1+Input!$C$9)</f>
        <v>327818.10000000003</v>
      </c>
      <c r="H22" s="23">
        <f>G22*(1+Input!$C$9)</f>
        <v>337652.64300000004</v>
      </c>
      <c r="I22" s="23">
        <f>H22*(1+Input!$C$9)</f>
        <v>347782.22229000006</v>
      </c>
      <c r="J22" s="23">
        <f>I22*(1+Input!$C$9)</f>
        <v>358215.68895870005</v>
      </c>
      <c r="K22" s="23">
        <f>J22*(1+Input!$C$9)</f>
        <v>368962.15962746105</v>
      </c>
      <c r="L22" s="23">
        <f>K22*(1+Input!$C$9)</f>
        <v>380031.02441628487</v>
      </c>
      <c r="M22" s="24">
        <f>L22*(1+Input!$C$9)</f>
        <v>391431.95514877344</v>
      </c>
    </row>
    <row r="23" spans="2:13" ht="20" customHeight="1" x14ac:dyDescent="0.2">
      <c r="B23" s="26" t="s">
        <v>135</v>
      </c>
      <c r="C23" s="22">
        <v>0</v>
      </c>
      <c r="D23" s="23">
        <f>Input!C38</f>
        <v>300000</v>
      </c>
      <c r="E23" s="23">
        <f>D23*(1+Input!$C$9)</f>
        <v>309000</v>
      </c>
      <c r="F23" s="23">
        <f>E23*(1+Input!$C$9)</f>
        <v>318270</v>
      </c>
      <c r="G23" s="23">
        <f>F23*(1+Input!$C$9)</f>
        <v>327818.10000000003</v>
      </c>
      <c r="H23" s="23">
        <f>G23*(1+Input!$C$9)</f>
        <v>337652.64300000004</v>
      </c>
      <c r="I23" s="23">
        <f>H23*(1+Input!$C$9)</f>
        <v>347782.22229000006</v>
      </c>
      <c r="J23" s="23">
        <f>I23*(1+Input!$C$9)</f>
        <v>358215.68895870005</v>
      </c>
      <c r="K23" s="23">
        <f>J23*(1+Input!$C$9)</f>
        <v>368962.15962746105</v>
      </c>
      <c r="L23" s="23">
        <f>K23*(1+Input!$C$9)</f>
        <v>380031.02441628487</v>
      </c>
      <c r="M23" s="24">
        <f>L23*(1+Input!$C$9)</f>
        <v>391431.95514877344</v>
      </c>
    </row>
    <row r="24" spans="2:13" ht="20" customHeight="1" x14ac:dyDescent="0.2">
      <c r="B24" s="26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4"/>
    </row>
    <row r="25" spans="2:13" ht="20" customHeight="1" x14ac:dyDescent="0.2">
      <c r="B25" s="21" t="s">
        <v>136</v>
      </c>
      <c r="C25" s="41">
        <v>0</v>
      </c>
      <c r="D25" s="117">
        <f>SUM(D20:D23)</f>
        <v>9444454.4000000004</v>
      </c>
      <c r="E25" s="117">
        <f t="shared" ref="E25:M25" si="1">SUM(E20:E23)</f>
        <v>11735694.752</v>
      </c>
      <c r="F25" s="117">
        <f t="shared" si="1"/>
        <v>12879824.028896</v>
      </c>
      <c r="G25" s="117">
        <f t="shared" si="1"/>
        <v>13391471.143234968</v>
      </c>
      <c r="H25" s="117">
        <f t="shared" si="1"/>
        <v>13926095.541766554</v>
      </c>
      <c r="I25" s="117">
        <f t="shared" si="1"/>
        <v>14484851.080345972</v>
      </c>
      <c r="J25" s="117">
        <f t="shared" si="1"/>
        <v>15068954.520827452</v>
      </c>
      <c r="K25" s="117">
        <f t="shared" si="1"/>
        <v>15679689.141124904</v>
      </c>
      <c r="L25" s="117">
        <f t="shared" si="1"/>
        <v>16318408.558497841</v>
      </c>
      <c r="M25" s="118">
        <f t="shared" si="1"/>
        <v>16986540.778849144</v>
      </c>
    </row>
    <row r="26" spans="2:13" ht="20" customHeight="1" thickBot="1" x14ac:dyDescent="0.25">
      <c r="B26" s="162" t="s">
        <v>137</v>
      </c>
      <c r="C26" s="163">
        <v>0</v>
      </c>
      <c r="D26" s="166">
        <f>D17+D25</f>
        <v>23306704.399999999</v>
      </c>
      <c r="E26" s="166">
        <f t="shared" ref="E26:M26" si="2">E17+E25</f>
        <v>36722400.377000004</v>
      </c>
      <c r="F26" s="166">
        <f t="shared" si="2"/>
        <v>44866376.758271009</v>
      </c>
      <c r="G26" s="166">
        <f t="shared" si="2"/>
        <v>47326004.933828905</v>
      </c>
      <c r="H26" s="166">
        <f t="shared" si="2"/>
        <v>49927242.44020766</v>
      </c>
      <c r="I26" s="166">
        <f t="shared" si="2"/>
        <v>52678467.824902147</v>
      </c>
      <c r="J26" s="166">
        <f t="shared" si="2"/>
        <v>55588562.525127091</v>
      </c>
      <c r="K26" s="166">
        <f t="shared" si="2"/>
        <v>58666941.272886395</v>
      </c>
      <c r="L26" s="166">
        <f t="shared" si="2"/>
        <v>61923584.345083594</v>
      </c>
      <c r="M26" s="167">
        <f t="shared" si="2"/>
        <v>65369071.770837992</v>
      </c>
    </row>
  </sheetData>
  <mergeCells count="1">
    <mergeCell ref="B2:M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6</xdr:col>
                    <xdr:colOff>101600</xdr:colOff>
                    <xdr:row>4</xdr:row>
                    <xdr:rowOff>12700</xdr:rowOff>
                  </from>
                  <to>
                    <xdr:col>6</xdr:col>
                    <xdr:colOff>1689100</xdr:colOff>
                    <xdr:row>4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BB77-7B3F-0C44-B0F3-E8F750EBCCDE}">
  <dimension ref="B1:M21"/>
  <sheetViews>
    <sheetView showGridLines="0" zoomScale="114" zoomScaleNormal="110" workbookViewId="0">
      <selection activeCell="E42" sqref="E42"/>
    </sheetView>
  </sheetViews>
  <sheetFormatPr baseColWidth="10" defaultRowHeight="18" x14ac:dyDescent="0.2"/>
  <cols>
    <col min="1" max="1" width="6.1640625" style="37" customWidth="1"/>
    <col min="2" max="2" width="22.33203125" style="37" bestFit="1" customWidth="1"/>
    <col min="3" max="3" width="13.1640625" style="37" customWidth="1"/>
    <col min="4" max="5" width="17.83203125" style="37" bestFit="1" customWidth="1"/>
    <col min="6" max="6" width="20.33203125" style="37" customWidth="1"/>
    <col min="7" max="7" width="26.6640625" style="37" customWidth="1"/>
    <col min="8" max="8" width="17.83203125" style="37" bestFit="1" customWidth="1"/>
    <col min="9" max="13" width="19.1640625" style="37" bestFit="1" customWidth="1"/>
    <col min="14" max="16384" width="10.83203125" style="37"/>
  </cols>
  <sheetData>
    <row r="1" spans="2:13" ht="19" thickBot="1" x14ac:dyDescent="0.25"/>
    <row r="2" spans="2:13" ht="20" customHeight="1" x14ac:dyDescent="0.2">
      <c r="B2" s="168" t="s">
        <v>170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20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4" spans="2:13" ht="19" thickBot="1" x14ac:dyDescent="0.25"/>
    <row r="5" spans="2:13" ht="27" customHeight="1" thickBot="1" x14ac:dyDescent="0.25">
      <c r="F5" s="149" t="s">
        <v>167</v>
      </c>
      <c r="G5" s="150"/>
    </row>
    <row r="6" spans="2:13" ht="19" thickBot="1" x14ac:dyDescent="0.25"/>
    <row r="7" spans="2:13" ht="30" customHeight="1" x14ac:dyDescent="0.2">
      <c r="B7" s="125" t="s">
        <v>62</v>
      </c>
      <c r="C7" s="126" t="s">
        <v>63</v>
      </c>
      <c r="D7" s="126" t="s">
        <v>64</v>
      </c>
      <c r="E7" s="126" t="s">
        <v>65</v>
      </c>
      <c r="F7" s="126" t="s">
        <v>66</v>
      </c>
      <c r="G7" s="126" t="s">
        <v>67</v>
      </c>
      <c r="H7" s="126" t="s">
        <v>68</v>
      </c>
      <c r="I7" s="126" t="s">
        <v>69</v>
      </c>
      <c r="J7" s="126" t="s">
        <v>70</v>
      </c>
      <c r="K7" s="126" t="s">
        <v>71</v>
      </c>
      <c r="L7" s="126" t="s">
        <v>72</v>
      </c>
      <c r="M7" s="133" t="s">
        <v>73</v>
      </c>
    </row>
    <row r="8" spans="2:13" ht="20" customHeight="1" x14ac:dyDescent="0.2">
      <c r="B8" s="92" t="s">
        <v>93</v>
      </c>
      <c r="C8" s="22">
        <v>0</v>
      </c>
      <c r="D8" s="23">
        <f>Revenue!D9</f>
        <v>28119360.000000004</v>
      </c>
      <c r="E8" s="23">
        <f>Revenue!E9</f>
        <v>76115970</v>
      </c>
      <c r="F8" s="23">
        <f>Revenue!F9</f>
        <v>97439315.310000002</v>
      </c>
      <c r="G8" s="23">
        <f>Revenue!G9</f>
        <v>103373369.61237901</v>
      </c>
      <c r="H8" s="23">
        <f>Revenue!H9</f>
        <v>109668807.82177287</v>
      </c>
      <c r="I8" s="23">
        <f>Revenue!I9</f>
        <v>116347638.21811885</v>
      </c>
      <c r="J8" s="23">
        <f>Revenue!J9</f>
        <v>123433209.38560228</v>
      </c>
      <c r="K8" s="23">
        <f>Revenue!K9</f>
        <v>130950291.83718549</v>
      </c>
      <c r="L8" s="23">
        <f>Revenue!L9</f>
        <v>138925164.61007005</v>
      </c>
      <c r="M8" s="24">
        <f>Revenue!M9</f>
        <v>147385707.13482332</v>
      </c>
    </row>
    <row r="9" spans="2:13" ht="20" customHeight="1" x14ac:dyDescent="0.2">
      <c r="B9" s="92"/>
      <c r="C9" s="22"/>
      <c r="D9" s="23"/>
      <c r="E9" s="23"/>
      <c r="F9" s="23"/>
      <c r="G9" s="23"/>
      <c r="H9" s="23"/>
      <c r="I9" s="23"/>
      <c r="J9" s="23"/>
      <c r="K9" s="23"/>
      <c r="L9" s="23"/>
      <c r="M9" s="24"/>
    </row>
    <row r="10" spans="2:13" ht="20" customHeight="1" x14ac:dyDescent="0.2">
      <c r="B10" s="93" t="s">
        <v>125</v>
      </c>
      <c r="C10" s="22">
        <v>0</v>
      </c>
      <c r="D10" s="23">
        <f>-Opex!D17</f>
        <v>-13862250</v>
      </c>
      <c r="E10" s="23">
        <f>-Opex!E17</f>
        <v>-24986705.625</v>
      </c>
      <c r="F10" s="23">
        <f>-Opex!F17</f>
        <v>-31986552.729375005</v>
      </c>
      <c r="G10" s="23">
        <f>-Opex!G17</f>
        <v>-33934533.790593937</v>
      </c>
      <c r="H10" s="23">
        <f>-Opex!H17</f>
        <v>-36001146.898441106</v>
      </c>
      <c r="I10" s="23">
        <f>-Opex!I17</f>
        <v>-38193616.744556174</v>
      </c>
      <c r="J10" s="23">
        <f>-Opex!J17</f>
        <v>-40519608.004299641</v>
      </c>
      <c r="K10" s="23">
        <f>-Opex!K17</f>
        <v>-42987252.131761491</v>
      </c>
      <c r="L10" s="23">
        <f>-Opex!L17</f>
        <v>-45605175.786585756</v>
      </c>
      <c r="M10" s="24">
        <f>-Opex!M17</f>
        <v>-48382530.991988845</v>
      </c>
    </row>
    <row r="11" spans="2:13" ht="20" customHeight="1" x14ac:dyDescent="0.2">
      <c r="B11" s="93" t="s">
        <v>126</v>
      </c>
      <c r="C11" s="22">
        <v>0</v>
      </c>
      <c r="D11" s="39">
        <f>SUM(D8:D10)</f>
        <v>14257110.000000004</v>
      </c>
      <c r="E11" s="39">
        <f t="shared" ref="E11:M11" si="0">SUM(E8:E10)</f>
        <v>51129264.375</v>
      </c>
      <c r="F11" s="39">
        <f t="shared" si="0"/>
        <v>65452762.580624998</v>
      </c>
      <c r="G11" s="39">
        <f t="shared" si="0"/>
        <v>69438835.821785077</v>
      </c>
      <c r="H11" s="39">
        <f t="shared" si="0"/>
        <v>73667660.923331767</v>
      </c>
      <c r="I11" s="39">
        <f t="shared" si="0"/>
        <v>78154021.473562673</v>
      </c>
      <c r="J11" s="39">
        <f t="shared" si="0"/>
        <v>82913601.38130264</v>
      </c>
      <c r="K11" s="39">
        <f t="shared" si="0"/>
        <v>87963039.705423996</v>
      </c>
      <c r="L11" s="39">
        <f t="shared" si="0"/>
        <v>93319988.823484302</v>
      </c>
      <c r="M11" s="40">
        <f t="shared" si="0"/>
        <v>99003176.142834485</v>
      </c>
    </row>
    <row r="12" spans="2:13" ht="20" customHeight="1" x14ac:dyDescent="0.2">
      <c r="B12" s="93" t="s">
        <v>127</v>
      </c>
      <c r="C12" s="22">
        <v>0</v>
      </c>
      <c r="D12" s="23">
        <f>-Opex!D25</f>
        <v>-9444454.4000000004</v>
      </c>
      <c r="E12" s="23">
        <f>-Opex!E25</f>
        <v>-11735694.752</v>
      </c>
      <c r="F12" s="23">
        <f>-Opex!F25</f>
        <v>-12879824.028896</v>
      </c>
      <c r="G12" s="23">
        <f>-Opex!G25</f>
        <v>-13391471.143234968</v>
      </c>
      <c r="H12" s="23">
        <f>-Opex!H25</f>
        <v>-13926095.541766554</v>
      </c>
      <c r="I12" s="23">
        <f>-Opex!I25</f>
        <v>-14484851.080345972</v>
      </c>
      <c r="J12" s="23">
        <f>-Opex!J25</f>
        <v>-15068954.520827452</v>
      </c>
      <c r="K12" s="23">
        <f>-Opex!K25</f>
        <v>-15679689.141124904</v>
      </c>
      <c r="L12" s="23">
        <f>-Opex!L25</f>
        <v>-16318408.558497841</v>
      </c>
      <c r="M12" s="24">
        <f>-Opex!M25</f>
        <v>-16986540.778849144</v>
      </c>
    </row>
    <row r="13" spans="2:13" ht="20" customHeight="1" x14ac:dyDescent="0.2">
      <c r="B13" s="92" t="s">
        <v>79</v>
      </c>
      <c r="C13" s="41">
        <v>0</v>
      </c>
      <c r="D13" s="42">
        <f>SUM(D11:D12)</f>
        <v>4812655.6000000034</v>
      </c>
      <c r="E13" s="42">
        <f t="shared" ref="E13:M13" si="1">SUM(E11:E12)</f>
        <v>39393569.622999996</v>
      </c>
      <c r="F13" s="42">
        <f t="shared" si="1"/>
        <v>52572938.551728994</v>
      </c>
      <c r="G13" s="42">
        <f t="shared" si="1"/>
        <v>56047364.678550109</v>
      </c>
      <c r="H13" s="42">
        <f t="shared" si="1"/>
        <v>59741565.381565213</v>
      </c>
      <c r="I13" s="42">
        <f t="shared" si="1"/>
        <v>63669170.393216699</v>
      </c>
      <c r="J13" s="42">
        <f t="shared" si="1"/>
        <v>67844646.860475183</v>
      </c>
      <c r="K13" s="42">
        <f t="shared" si="1"/>
        <v>72283350.564299092</v>
      </c>
      <c r="L13" s="42">
        <f t="shared" si="1"/>
        <v>77001580.264986455</v>
      </c>
      <c r="M13" s="43">
        <f t="shared" si="1"/>
        <v>82016635.363985345</v>
      </c>
    </row>
    <row r="14" spans="2:13" ht="20" customHeight="1" x14ac:dyDescent="0.2">
      <c r="B14" s="92"/>
      <c r="C14" s="41"/>
      <c r="D14" s="42"/>
      <c r="E14" s="42"/>
      <c r="F14" s="42"/>
      <c r="G14" s="42"/>
      <c r="H14" s="42"/>
      <c r="I14" s="42"/>
      <c r="J14" s="42"/>
      <c r="K14" s="42"/>
      <c r="L14" s="42"/>
      <c r="M14" s="43"/>
    </row>
    <row r="15" spans="2:13" ht="20" customHeight="1" x14ac:dyDescent="0.2">
      <c r="B15" s="93" t="s">
        <v>128</v>
      </c>
      <c r="C15" s="22">
        <v>0</v>
      </c>
      <c r="D15" s="23">
        <f>-Capex!D22</f>
        <v>-1793500</v>
      </c>
      <c r="E15" s="23">
        <f>-Capex!E22</f>
        <v>-1793500</v>
      </c>
      <c r="F15" s="23">
        <f>-Capex!F22</f>
        <v>-1793500</v>
      </c>
      <c r="G15" s="23">
        <f>-Capex!G22</f>
        <v>-1793500</v>
      </c>
      <c r="H15" s="23">
        <f>-Capex!H22</f>
        <v>-1793500</v>
      </c>
      <c r="I15" s="23">
        <f>-Capex!I22</f>
        <v>-1793500</v>
      </c>
      <c r="J15" s="23">
        <f>-Capex!J22</f>
        <v>-1793500</v>
      </c>
      <c r="K15" s="23">
        <f>-Capex!K22</f>
        <v>-1793500</v>
      </c>
      <c r="L15" s="23">
        <f>-Capex!L22</f>
        <v>-1793500</v>
      </c>
      <c r="M15" s="24">
        <f>-Capex!M22</f>
        <v>-1793500</v>
      </c>
    </row>
    <row r="16" spans="2:13" s="44" customFormat="1" ht="20" customHeight="1" x14ac:dyDescent="0.2">
      <c r="B16" s="92" t="s">
        <v>80</v>
      </c>
      <c r="C16" s="41">
        <v>0</v>
      </c>
      <c r="D16" s="42">
        <f>SUM(D13:D15)</f>
        <v>3019155.6000000034</v>
      </c>
      <c r="E16" s="42">
        <f t="shared" ref="E16:M16" si="2">SUM(E13:E15)</f>
        <v>37600069.622999996</v>
      </c>
      <c r="F16" s="42">
        <f t="shared" si="2"/>
        <v>50779438.551728994</v>
      </c>
      <c r="G16" s="42">
        <f t="shared" si="2"/>
        <v>54253864.678550109</v>
      </c>
      <c r="H16" s="42">
        <f t="shared" si="2"/>
        <v>57948065.381565213</v>
      </c>
      <c r="I16" s="42">
        <f t="shared" si="2"/>
        <v>61875670.393216699</v>
      </c>
      <c r="J16" s="42">
        <f t="shared" si="2"/>
        <v>66051146.860475183</v>
      </c>
      <c r="K16" s="42">
        <f t="shared" si="2"/>
        <v>70489850.564299092</v>
      </c>
      <c r="L16" s="42">
        <f t="shared" si="2"/>
        <v>75208080.264986455</v>
      </c>
      <c r="M16" s="43">
        <f t="shared" si="2"/>
        <v>80223135.363985345</v>
      </c>
    </row>
    <row r="17" spans="2:13" s="44" customFormat="1" ht="20" customHeight="1" x14ac:dyDescent="0.2">
      <c r="B17" s="92"/>
      <c r="C17" s="41"/>
      <c r="D17" s="42"/>
      <c r="E17" s="42"/>
      <c r="F17" s="42"/>
      <c r="G17" s="42"/>
      <c r="H17" s="42"/>
      <c r="I17" s="42"/>
      <c r="J17" s="42"/>
      <c r="K17" s="42"/>
      <c r="L17" s="42"/>
      <c r="M17" s="43"/>
    </row>
    <row r="18" spans="2:13" ht="20" customHeight="1" x14ac:dyDescent="0.2">
      <c r="B18" s="93" t="s">
        <v>129</v>
      </c>
      <c r="C18" s="22">
        <v>0</v>
      </c>
      <c r="D18" s="23">
        <f>D16*-Input!$C$8</f>
        <v>-754788.90000000084</v>
      </c>
      <c r="E18" s="23">
        <f>E16*-Input!$C$8</f>
        <v>-9400017.405749999</v>
      </c>
      <c r="F18" s="23">
        <f>F16*-Input!$C$8</f>
        <v>-12694859.637932248</v>
      </c>
      <c r="G18" s="23">
        <f>G16*-Input!$C$8</f>
        <v>-13563466.169637527</v>
      </c>
      <c r="H18" s="23">
        <f>H16*-Input!$C$8</f>
        <v>-14487016.345391303</v>
      </c>
      <c r="I18" s="23">
        <f>I16*-Input!$C$8</f>
        <v>-15468917.598304175</v>
      </c>
      <c r="J18" s="23">
        <f>J16*-Input!$C$8</f>
        <v>-16512786.715118796</v>
      </c>
      <c r="K18" s="23">
        <f>K16*-Input!$C$8</f>
        <v>-17622462.641074773</v>
      </c>
      <c r="L18" s="23">
        <f>L16*-Input!$C$8</f>
        <v>-18802020.066246614</v>
      </c>
      <c r="M18" s="24">
        <f>M16*-Input!$C$8</f>
        <v>-20055783.840996336</v>
      </c>
    </row>
    <row r="19" spans="2:13" s="44" customFormat="1" ht="20" customHeight="1" x14ac:dyDescent="0.2">
      <c r="B19" s="92" t="s">
        <v>81</v>
      </c>
      <c r="C19" s="41">
        <v>0</v>
      </c>
      <c r="D19" s="42">
        <f>SUM(D16:D18)</f>
        <v>2264366.7000000025</v>
      </c>
      <c r="E19" s="42">
        <f t="shared" ref="E19:M19" si="3">SUM(E16:E18)</f>
        <v>28200052.217249997</v>
      </c>
      <c r="F19" s="42">
        <f t="shared" si="3"/>
        <v>38084578.913796745</v>
      </c>
      <c r="G19" s="42">
        <f t="shared" si="3"/>
        <v>40690398.508912578</v>
      </c>
      <c r="H19" s="42">
        <f t="shared" si="3"/>
        <v>43461049.03617391</v>
      </c>
      <c r="I19" s="42">
        <f t="shared" si="3"/>
        <v>46406752.794912525</v>
      </c>
      <c r="J19" s="42">
        <f t="shared" si="3"/>
        <v>49538360.145356387</v>
      </c>
      <c r="K19" s="42">
        <f t="shared" si="3"/>
        <v>52867387.923224315</v>
      </c>
      <c r="L19" s="42">
        <f t="shared" si="3"/>
        <v>56406060.198739842</v>
      </c>
      <c r="M19" s="43">
        <f t="shared" si="3"/>
        <v>60167351.522989005</v>
      </c>
    </row>
    <row r="20" spans="2:13" ht="20" customHeight="1" x14ac:dyDescent="0.2">
      <c r="B20" s="93"/>
      <c r="C20" s="22"/>
      <c r="D20" s="45"/>
      <c r="E20" s="45"/>
      <c r="F20" s="45"/>
      <c r="G20" s="45"/>
      <c r="H20" s="45"/>
      <c r="I20" s="45"/>
      <c r="J20" s="45"/>
      <c r="K20" s="45"/>
      <c r="L20" s="45"/>
      <c r="M20" s="46"/>
    </row>
    <row r="21" spans="2:13" ht="20" customHeight="1" thickBot="1" x14ac:dyDescent="0.25">
      <c r="B21" s="94" t="s">
        <v>82</v>
      </c>
      <c r="C21" s="30">
        <v>0</v>
      </c>
      <c r="D21" s="95">
        <f>D13/D8</f>
        <v>0.17115096502907615</v>
      </c>
      <c r="E21" s="95">
        <f t="shared" ref="E21:M21" si="4">E13/E8</f>
        <v>0.51754670699197547</v>
      </c>
      <c r="F21" s="95">
        <f t="shared" si="4"/>
        <v>0.53954544307367003</v>
      </c>
      <c r="G21" s="95">
        <f t="shared" si="4"/>
        <v>0.5421837837802127</v>
      </c>
      <c r="H21" s="95">
        <f t="shared" si="4"/>
        <v>0.54474527961180719</v>
      </c>
      <c r="I21" s="95">
        <f t="shared" si="4"/>
        <v>0.54723216876869518</v>
      </c>
      <c r="J21" s="95">
        <f t="shared" si="4"/>
        <v>0.54964662426081934</v>
      </c>
      <c r="K21" s="95">
        <f t="shared" si="4"/>
        <v>0.5519907558065712</v>
      </c>
      <c r="L21" s="95">
        <f t="shared" si="4"/>
        <v>0.55426661167623303</v>
      </c>
      <c r="M21" s="96">
        <f t="shared" si="4"/>
        <v>0.55647618048172998</v>
      </c>
    </row>
  </sheetData>
  <mergeCells count="1">
    <mergeCell ref="B2:M3"/>
  </mergeCells>
  <pageMargins left="0.7" right="0.7" top="0.75" bottom="0.75" header="0.3" footer="0.3"/>
  <ignoredErrors>
    <ignoredError sqref="D12 D15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Drop Down 1">
              <controlPr defaultSize="0" autoLine="0" autoPict="0">
                <anchor moveWithCells="1">
                  <from>
                    <xdr:col>6</xdr:col>
                    <xdr:colOff>101600</xdr:colOff>
                    <xdr:row>4</xdr:row>
                    <xdr:rowOff>12700</xdr:rowOff>
                  </from>
                  <to>
                    <xdr:col>6</xdr:col>
                    <xdr:colOff>2019300</xdr:colOff>
                    <xdr:row>4</xdr:row>
                    <xdr:rowOff>317500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EF62-90BB-3E48-A337-0D22018D1A66}">
  <dimension ref="B1:M31"/>
  <sheetViews>
    <sheetView showGridLines="0" zoomScale="113" zoomScaleNormal="110" workbookViewId="0">
      <selection activeCell="C55" sqref="C55"/>
    </sheetView>
  </sheetViews>
  <sheetFormatPr baseColWidth="10" defaultRowHeight="16" x14ac:dyDescent="0.2"/>
  <cols>
    <col min="1" max="1" width="10.83203125" style="97"/>
    <col min="2" max="2" width="37" style="97" bestFit="1" customWidth="1"/>
    <col min="3" max="4" width="20.5" style="97" bestFit="1" customWidth="1"/>
    <col min="5" max="5" width="19.33203125" style="97" bestFit="1" customWidth="1"/>
    <col min="6" max="6" width="16.6640625" style="97" bestFit="1" customWidth="1"/>
    <col min="7" max="7" width="29.1640625" style="97" customWidth="1"/>
    <col min="8" max="13" width="21" style="97" bestFit="1" customWidth="1"/>
    <col min="14" max="16384" width="10.83203125" style="97"/>
  </cols>
  <sheetData>
    <row r="1" spans="2:13" ht="17" thickBot="1" x14ac:dyDescent="0.25"/>
    <row r="2" spans="2:13" x14ac:dyDescent="0.2">
      <c r="B2" s="168" t="s">
        <v>171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31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5" spans="2:13" ht="29" customHeight="1" x14ac:dyDescent="0.2">
      <c r="F5" s="132" t="s">
        <v>167</v>
      </c>
      <c r="G5" s="136"/>
    </row>
    <row r="6" spans="2:13" ht="17" thickBot="1" x14ac:dyDescent="0.25"/>
    <row r="7" spans="2:13" ht="24" customHeight="1" x14ac:dyDescent="0.2">
      <c r="B7" s="125" t="s">
        <v>62</v>
      </c>
      <c r="C7" s="126" t="s">
        <v>63</v>
      </c>
      <c r="D7" s="126" t="s">
        <v>64</v>
      </c>
      <c r="E7" s="126" t="s">
        <v>65</v>
      </c>
      <c r="F7" s="126" t="s">
        <v>66</v>
      </c>
      <c r="G7" s="126" t="s">
        <v>67</v>
      </c>
      <c r="H7" s="126" t="s">
        <v>68</v>
      </c>
      <c r="I7" s="126" t="s">
        <v>69</v>
      </c>
      <c r="J7" s="126" t="s">
        <v>70</v>
      </c>
      <c r="K7" s="126" t="s">
        <v>71</v>
      </c>
      <c r="L7" s="126" t="s">
        <v>72</v>
      </c>
      <c r="M7" s="133" t="s">
        <v>73</v>
      </c>
    </row>
    <row r="8" spans="2:13" ht="20" customHeight="1" x14ac:dyDescent="0.2">
      <c r="B8" s="98" t="s">
        <v>123</v>
      </c>
      <c r="C8" s="22">
        <v>0</v>
      </c>
      <c r="D8" s="23">
        <f>'P&amp;L'!D19</f>
        <v>2264366.7000000025</v>
      </c>
      <c r="E8" s="23">
        <f>'P&amp;L'!E19</f>
        <v>28200052.217249997</v>
      </c>
      <c r="F8" s="23">
        <f>'P&amp;L'!F19</f>
        <v>38084578.913796745</v>
      </c>
      <c r="G8" s="23">
        <f>'P&amp;L'!G19</f>
        <v>40690398.508912578</v>
      </c>
      <c r="H8" s="23">
        <f>'P&amp;L'!H19</f>
        <v>43461049.03617391</v>
      </c>
      <c r="I8" s="23">
        <f>'P&amp;L'!I19</f>
        <v>46406752.794912525</v>
      </c>
      <c r="J8" s="23">
        <f>'P&amp;L'!J19</f>
        <v>49538360.145356387</v>
      </c>
      <c r="K8" s="23">
        <f>'P&amp;L'!K19</f>
        <v>52867387.923224315</v>
      </c>
      <c r="L8" s="23">
        <f>'P&amp;L'!L19</f>
        <v>56406060.198739842</v>
      </c>
      <c r="M8" s="24">
        <f>'P&amp;L'!M19</f>
        <v>60167351.522989005</v>
      </c>
    </row>
    <row r="9" spans="2:13" ht="20" customHeight="1" x14ac:dyDescent="0.2">
      <c r="B9" s="98" t="s">
        <v>119</v>
      </c>
      <c r="C9" s="22">
        <v>0</v>
      </c>
      <c r="D9" s="23">
        <f>-'P&amp;L'!D15</f>
        <v>1793500</v>
      </c>
      <c r="E9" s="23">
        <f>-'P&amp;L'!E15</f>
        <v>1793500</v>
      </c>
      <c r="F9" s="23">
        <f>-'P&amp;L'!F15</f>
        <v>1793500</v>
      </c>
      <c r="G9" s="23">
        <f>-'P&amp;L'!G15</f>
        <v>1793500</v>
      </c>
      <c r="H9" s="23">
        <f>-'P&amp;L'!H15</f>
        <v>1793500</v>
      </c>
      <c r="I9" s="23">
        <f>-'P&amp;L'!I15</f>
        <v>1793500</v>
      </c>
      <c r="J9" s="23">
        <f>-'P&amp;L'!J15</f>
        <v>1793500</v>
      </c>
      <c r="K9" s="23">
        <f>-'P&amp;L'!K15</f>
        <v>1793500</v>
      </c>
      <c r="L9" s="23">
        <f>-'P&amp;L'!L15</f>
        <v>1793500</v>
      </c>
      <c r="M9" s="24">
        <f>-'P&amp;L'!M15</f>
        <v>1793500</v>
      </c>
    </row>
    <row r="10" spans="2:13" ht="20" customHeight="1" x14ac:dyDescent="0.2">
      <c r="B10" s="98" t="s">
        <v>120</v>
      </c>
      <c r="C10" s="22">
        <v>0</v>
      </c>
      <c r="D10" s="23">
        <f>-Input!$C$34*Revenue!D9</f>
        <v>-562387.20000000007</v>
      </c>
      <c r="E10" s="23">
        <f>-Input!$C$34*Revenue!E9</f>
        <v>-1522319.4000000001</v>
      </c>
      <c r="F10" s="23">
        <f>-Input!$C$34*Revenue!F9</f>
        <v>-1948786.3062</v>
      </c>
      <c r="G10" s="23">
        <f>-Input!$C$34*Revenue!G9</f>
        <v>-2067467.3922475802</v>
      </c>
      <c r="H10" s="23">
        <f>-Input!$C$34*Revenue!H9</f>
        <v>-2193376.1564354575</v>
      </c>
      <c r="I10" s="23">
        <f>-Input!$C$34*Revenue!I9</f>
        <v>-2326952.7643623771</v>
      </c>
      <c r="J10" s="23">
        <f>-Input!$C$34*Revenue!J9</f>
        <v>-2468664.1877120459</v>
      </c>
      <c r="K10" s="23">
        <f>-Input!$C$34*Revenue!K9</f>
        <v>-2619005.8367437096</v>
      </c>
      <c r="L10" s="23">
        <f>-Input!$C$34*Revenue!L9</f>
        <v>-2778503.2922014012</v>
      </c>
      <c r="M10" s="24">
        <f>-Input!$C$34*Revenue!M9</f>
        <v>-2947714.1426964663</v>
      </c>
    </row>
    <row r="11" spans="2:13" ht="20" customHeight="1" x14ac:dyDescent="0.2">
      <c r="B11" s="98" t="s">
        <v>91</v>
      </c>
      <c r="C11" s="23">
        <f>-Capex!C14</f>
        <v>-35874250</v>
      </c>
      <c r="D11" s="22">
        <f>-Capex!D14</f>
        <v>0</v>
      </c>
      <c r="E11" s="22">
        <f>-Capex!E14</f>
        <v>0</v>
      </c>
      <c r="F11" s="22">
        <f>-Capex!F14</f>
        <v>0</v>
      </c>
      <c r="G11" s="22">
        <f>-Capex!G14</f>
        <v>0</v>
      </c>
      <c r="H11" s="22">
        <f>-Capex!H14</f>
        <v>0</v>
      </c>
      <c r="I11" s="22">
        <f>-Capex!I14</f>
        <v>0</v>
      </c>
      <c r="J11" s="22">
        <f>-Capex!J14</f>
        <v>0</v>
      </c>
      <c r="K11" s="22">
        <f>-Capex!K14</f>
        <v>0</v>
      </c>
      <c r="L11" s="22">
        <f>-Capex!L14</f>
        <v>0</v>
      </c>
      <c r="M11" s="25">
        <f>-Capex!M14</f>
        <v>0</v>
      </c>
    </row>
    <row r="12" spans="2:13" ht="20" customHeight="1" x14ac:dyDescent="0.2">
      <c r="B12" s="98" t="s">
        <v>121</v>
      </c>
      <c r="C12" s="23">
        <f>SUM(C8:C11)</f>
        <v>-35874250</v>
      </c>
      <c r="D12" s="23">
        <f>SUM(D8:D11)</f>
        <v>3495479.5000000023</v>
      </c>
      <c r="E12" s="23">
        <f t="shared" ref="E12:M12" si="0">SUM(E8:E11)</f>
        <v>28471232.817249998</v>
      </c>
      <c r="F12" s="23">
        <f t="shared" si="0"/>
        <v>37929292.607596748</v>
      </c>
      <c r="G12" s="23">
        <f t="shared" si="0"/>
        <v>40416431.116664998</v>
      </c>
      <c r="H12" s="23">
        <f t="shared" si="0"/>
        <v>43061172.87973845</v>
      </c>
      <c r="I12" s="23">
        <f t="shared" si="0"/>
        <v>45873300.030550145</v>
      </c>
      <c r="J12" s="23">
        <f t="shared" si="0"/>
        <v>48863195.957644343</v>
      </c>
      <c r="K12" s="23">
        <f t="shared" si="0"/>
        <v>52041882.086480603</v>
      </c>
      <c r="L12" s="23">
        <f t="shared" si="0"/>
        <v>55421056.906538442</v>
      </c>
      <c r="M12" s="24">
        <f t="shared" si="0"/>
        <v>59013137.380292535</v>
      </c>
    </row>
    <row r="13" spans="2:13" ht="20" customHeight="1" x14ac:dyDescent="0.2">
      <c r="B13" s="56" t="s">
        <v>122</v>
      </c>
      <c r="C13" s="22">
        <v>0</v>
      </c>
      <c r="D13" s="27"/>
      <c r="E13" s="27"/>
      <c r="F13" s="27"/>
      <c r="G13" s="27"/>
      <c r="H13" s="27"/>
      <c r="I13" s="27"/>
      <c r="J13" s="27"/>
      <c r="K13" s="27"/>
      <c r="L13" s="27"/>
      <c r="M13" s="28"/>
    </row>
    <row r="14" spans="2:13" ht="20" customHeight="1" thickBot="1" x14ac:dyDescent="0.25">
      <c r="B14" s="86" t="s">
        <v>124</v>
      </c>
      <c r="C14" s="99">
        <f>C12</f>
        <v>-35874250</v>
      </c>
      <c r="D14" s="99">
        <f>C14+D12</f>
        <v>-32378770.499999996</v>
      </c>
      <c r="E14" s="99">
        <f>D14+E12</f>
        <v>-3907537.6827499978</v>
      </c>
      <c r="F14" s="99">
        <f t="shared" ref="F14:M14" si="1">E14+F12</f>
        <v>34021754.924846753</v>
      </c>
      <c r="G14" s="99">
        <f t="shared" si="1"/>
        <v>74438186.041511744</v>
      </c>
      <c r="H14" s="99">
        <f t="shared" si="1"/>
        <v>117499358.92125019</v>
      </c>
      <c r="I14" s="99">
        <f t="shared" si="1"/>
        <v>163372658.95180035</v>
      </c>
      <c r="J14" s="99">
        <f t="shared" si="1"/>
        <v>212235854.90944469</v>
      </c>
      <c r="K14" s="99">
        <f t="shared" si="1"/>
        <v>264277736.99592531</v>
      </c>
      <c r="L14" s="99">
        <f t="shared" si="1"/>
        <v>319698793.90246373</v>
      </c>
      <c r="M14" s="100">
        <f t="shared" si="1"/>
        <v>378711931.28275627</v>
      </c>
    </row>
    <row r="31" spans="5:5" x14ac:dyDescent="0.2">
      <c r="E31" s="97" t="s">
        <v>83</v>
      </c>
    </row>
  </sheetData>
  <mergeCells count="1">
    <mergeCell ref="B2:M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Drop Down 1">
              <controlPr defaultSize="0" autoLine="0" autoPict="0">
                <anchor moveWithCells="1">
                  <from>
                    <xdr:col>6</xdr:col>
                    <xdr:colOff>317500</xdr:colOff>
                    <xdr:row>4</xdr:row>
                    <xdr:rowOff>38100</xdr:rowOff>
                  </from>
                  <to>
                    <xdr:col>7</xdr:col>
                    <xdr:colOff>12700</xdr:colOff>
                    <xdr:row>4</xdr:row>
                    <xdr:rowOff>330200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9793-944E-8E4E-890F-9A036C3A921A}">
  <dimension ref="B1:M12"/>
  <sheetViews>
    <sheetView showGridLines="0" workbookViewId="0">
      <selection activeCell="J24" sqref="J24"/>
    </sheetView>
  </sheetViews>
  <sheetFormatPr baseColWidth="10" defaultRowHeight="18" x14ac:dyDescent="0.2"/>
  <cols>
    <col min="1" max="1" width="10.83203125" style="37"/>
    <col min="2" max="2" width="28.5" style="37" customWidth="1"/>
    <col min="3" max="3" width="18" style="37" bestFit="1" customWidth="1"/>
    <col min="4" max="4" width="15" style="37" bestFit="1" customWidth="1"/>
    <col min="5" max="5" width="16.33203125" style="37" bestFit="1" customWidth="1"/>
    <col min="6" max="6" width="17.1640625" style="37" customWidth="1"/>
    <col min="7" max="7" width="25.5" style="37" customWidth="1"/>
    <col min="8" max="13" width="16.33203125" style="37" bestFit="1" customWidth="1"/>
    <col min="14" max="16384" width="10.83203125" style="37"/>
  </cols>
  <sheetData>
    <row r="1" spans="2:13" s="97" customFormat="1" ht="17" thickBot="1" x14ac:dyDescent="0.25"/>
    <row r="2" spans="2:13" s="97" customFormat="1" ht="16" x14ac:dyDescent="0.2">
      <c r="B2" s="168" t="s">
        <v>172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s="97" customFormat="1" ht="31" customHeight="1" thickBot="1" x14ac:dyDescent="0.2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</row>
    <row r="4" spans="2:13" s="97" customFormat="1" ht="19" customHeight="1" x14ac:dyDescent="0.2"/>
    <row r="5" spans="2:13" s="97" customFormat="1" ht="29" customHeight="1" x14ac:dyDescent="0.2">
      <c r="F5" s="132" t="s">
        <v>167</v>
      </c>
      <c r="G5" s="136"/>
    </row>
    <row r="6" spans="2:13" ht="19" thickBot="1" x14ac:dyDescent="0.25"/>
    <row r="7" spans="2:13" ht="25" customHeight="1" x14ac:dyDescent="0.2">
      <c r="B7" s="125" t="s">
        <v>62</v>
      </c>
      <c r="C7" s="126" t="s">
        <v>63</v>
      </c>
      <c r="D7" s="126" t="s">
        <v>64</v>
      </c>
      <c r="E7" s="126" t="s">
        <v>65</v>
      </c>
      <c r="F7" s="126" t="s">
        <v>66</v>
      </c>
      <c r="G7" s="126" t="s">
        <v>67</v>
      </c>
      <c r="H7" s="126" t="s">
        <v>68</v>
      </c>
      <c r="I7" s="126" t="s">
        <v>69</v>
      </c>
      <c r="J7" s="126" t="s">
        <v>70</v>
      </c>
      <c r="K7" s="126" t="s">
        <v>71</v>
      </c>
      <c r="L7" s="126" t="s">
        <v>72</v>
      </c>
      <c r="M7" s="133" t="s">
        <v>73</v>
      </c>
    </row>
    <row r="8" spans="2:13" ht="20" customHeight="1" x14ac:dyDescent="0.2">
      <c r="B8" s="38" t="s">
        <v>117</v>
      </c>
      <c r="C8" s="23">
        <f>'Cash Flow'!C12</f>
        <v>-35874250</v>
      </c>
      <c r="D8" s="23">
        <f>'Cash Flow'!D12</f>
        <v>3495479.5000000023</v>
      </c>
      <c r="E8" s="23">
        <f>'Cash Flow'!E12</f>
        <v>28471232.817249998</v>
      </c>
      <c r="F8" s="23">
        <f>'Cash Flow'!F12</f>
        <v>37929292.607596748</v>
      </c>
      <c r="G8" s="23">
        <f>'Cash Flow'!G12</f>
        <v>40416431.116664998</v>
      </c>
      <c r="H8" s="23">
        <f>'Cash Flow'!H12</f>
        <v>43061172.87973845</v>
      </c>
      <c r="I8" s="23">
        <f>'Cash Flow'!I12</f>
        <v>45873300.030550145</v>
      </c>
      <c r="J8" s="23">
        <f>'Cash Flow'!J12</f>
        <v>48863195.957644343</v>
      </c>
      <c r="K8" s="23">
        <f>'Cash Flow'!K12</f>
        <v>52041882.086480603</v>
      </c>
      <c r="L8" s="23">
        <f>'Cash Flow'!L12</f>
        <v>55421056.906538442</v>
      </c>
      <c r="M8" s="24">
        <f>'Cash Flow'!M12</f>
        <v>59013137.380292535</v>
      </c>
    </row>
    <row r="9" spans="2:13" ht="20" customHeight="1" x14ac:dyDescent="0.2">
      <c r="B9" s="38" t="s">
        <v>118</v>
      </c>
      <c r="C9" s="27">
        <f>1/(1+Input!$C$7)^0</f>
        <v>1</v>
      </c>
      <c r="D9" s="31">
        <f>1/(1+Input!$C$7)^1</f>
        <v>0.89285714285714279</v>
      </c>
      <c r="E9" s="31">
        <f>1/(1+Input!$C$7)^2</f>
        <v>0.79719387755102034</v>
      </c>
      <c r="F9" s="31">
        <f>1/(1+Input!$C$7)^3</f>
        <v>0.71178024781341087</v>
      </c>
      <c r="G9" s="31">
        <f>1/(1+Input!$C$7)^3</f>
        <v>0.71178024781341087</v>
      </c>
      <c r="H9" s="31">
        <f>1/(1+Input!$C$7)^4</f>
        <v>0.63551807840483121</v>
      </c>
      <c r="I9" s="31">
        <f>1/(1+Input!$C$7)^5</f>
        <v>0.56742685571859919</v>
      </c>
      <c r="J9" s="31">
        <f>1/(1+Input!$C$7)^6</f>
        <v>0.50663112117732068</v>
      </c>
      <c r="K9" s="31">
        <f>1/(1+Input!$C$7)^7</f>
        <v>0.45234921533689343</v>
      </c>
      <c r="L9" s="31">
        <f>1/(1+Input!$C$7)^8</f>
        <v>0.4038832279793691</v>
      </c>
      <c r="M9" s="32">
        <f>1/(1+Input!$C$7)^9</f>
        <v>0.36061002498157957</v>
      </c>
    </row>
    <row r="10" spans="2:13" ht="20" customHeight="1" thickBot="1" x14ac:dyDescent="0.25">
      <c r="B10" s="152" t="s">
        <v>130</v>
      </c>
      <c r="C10" s="33">
        <f>C8*C9</f>
        <v>-35874250</v>
      </c>
      <c r="D10" s="33">
        <f t="shared" ref="D10:M10" si="0">D8*D9</f>
        <v>3120963.8392857159</v>
      </c>
      <c r="E10" s="33">
        <f t="shared" si="0"/>
        <v>22697092.488241386</v>
      </c>
      <c r="F10" s="33">
        <f t="shared" si="0"/>
        <v>26997321.291622587</v>
      </c>
      <c r="G10" s="33">
        <f t="shared" si="0"/>
        <v>28767617.355953462</v>
      </c>
      <c r="H10" s="33">
        <f t="shared" si="0"/>
        <v>27366153.842389613</v>
      </c>
      <c r="I10" s="33">
        <f t="shared" si="0"/>
        <v>26029742.39777099</v>
      </c>
      <c r="J10" s="33">
        <f t="shared" si="0"/>
        <v>24755615.752328478</v>
      </c>
      <c r="K10" s="33">
        <f t="shared" si="0"/>
        <v>23541104.526474632</v>
      </c>
      <c r="L10" s="33">
        <f t="shared" si="0"/>
        <v>22383635.361441053</v>
      </c>
      <c r="M10" s="34">
        <f t="shared" si="0"/>
        <v>21280728.944948677</v>
      </c>
    </row>
    <row r="11" spans="2:13" ht="19" thickBot="1" x14ac:dyDescent="0.2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2:13" ht="35" customHeight="1" thickBot="1" x14ac:dyDescent="0.25">
      <c r="B12" s="73" t="s">
        <v>84</v>
      </c>
      <c r="C12" s="106" cm="1">
        <f t="array" ref="C12">NPV(Input!C7,DCF!D8:M8+DCF!C8)</f>
        <v>5586255.375491011</v>
      </c>
      <c r="D12" s="36"/>
      <c r="E12" s="35"/>
      <c r="F12" s="35"/>
      <c r="G12" s="35"/>
      <c r="H12" s="35"/>
      <c r="I12" s="35"/>
      <c r="J12" s="35"/>
      <c r="K12" s="35"/>
      <c r="L12" s="35"/>
      <c r="M12" s="35"/>
    </row>
  </sheetData>
  <mergeCells count="1">
    <mergeCell ref="B2:M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3" name="Drop Down 2">
              <controlPr defaultSize="0" autoLine="0" autoPict="0">
                <anchor moveWithCells="1">
                  <from>
                    <xdr:col>6</xdr:col>
                    <xdr:colOff>381000</xdr:colOff>
                    <xdr:row>4</xdr:row>
                    <xdr:rowOff>25400</xdr:rowOff>
                  </from>
                  <to>
                    <xdr:col>6</xdr:col>
                    <xdr:colOff>1917700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Page</vt:lpstr>
      <vt:lpstr>Dashboard</vt:lpstr>
      <vt:lpstr>Input</vt:lpstr>
      <vt:lpstr>Scenarios</vt:lpstr>
      <vt:lpstr>Capex</vt:lpstr>
      <vt:lpstr>Volume</vt:lpstr>
      <vt:lpstr>Revenue</vt:lpstr>
      <vt:lpstr>Opex</vt:lpstr>
      <vt:lpstr>P&amp;L</vt:lpstr>
      <vt:lpstr>Cash Flow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Alali</dc:creator>
  <cp:lastModifiedBy>Abdulrahman Alali</cp:lastModifiedBy>
  <dcterms:created xsi:type="dcterms:W3CDTF">2026-03-07T17:21:49Z</dcterms:created>
  <dcterms:modified xsi:type="dcterms:W3CDTF">2026-03-11T21:28:09Z</dcterms:modified>
</cp:coreProperties>
</file>